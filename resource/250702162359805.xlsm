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wn\work\excel_proceed\resource\"/>
    </mc:Choice>
  </mc:AlternateContent>
  <xr:revisionPtr revIDLastSave="0" documentId="13_ncr:1_{0F6CB152-EA65-4133-A866-91E6EF16158C}" xr6:coauthVersionLast="47" xr6:coauthVersionMax="47" xr10:uidLastSave="{00000000-0000-0000-0000-000000000000}"/>
  <bookViews>
    <workbookView xWindow="-110" yWindow="-110" windowWidth="25820" windowHeight="13900" tabRatio="709" activeTab="2" xr2:uid="{00000000-000D-0000-FFFF-FFFF00000000}"/>
  </bookViews>
  <sheets>
    <sheet name="Snapshot" sheetId="1" r:id="rId1"/>
    <sheet name="Data presentation" sheetId="2" r:id="rId2"/>
    <sheet name="CP Summary" sheetId="3" r:id="rId3"/>
    <sheet name="FT Summary" sheetId="4" r:id="rId4"/>
  </sheets>
  <externalReferences>
    <externalReference r:id="rId5"/>
    <externalReference r:id="rId6"/>
  </externalReferences>
  <definedNames>
    <definedName name="_____QQQ1" localSheetId="2" hidden="1">{"'Surplus Cap'!$A$4:$AB$80"}</definedName>
    <definedName name="_____QQQ1" localSheetId="3" hidden="1">{"'Surplus Cap'!$A$4:$AB$80"}</definedName>
    <definedName name="_____QQQ1" hidden="1">{"'Surplus Cap'!$A$4:$AB$80"}</definedName>
    <definedName name="____QQQ1" localSheetId="2" hidden="1">{"'Surplus Cap'!$A$4:$AB$80"}</definedName>
    <definedName name="____QQQ1" localSheetId="3" hidden="1">{"'Surplus Cap'!$A$4:$AB$80"}</definedName>
    <definedName name="____QQQ1" hidden="1">{"'Surplus Cap'!$A$4:$AB$80"}</definedName>
    <definedName name="___QQQ1" localSheetId="2" hidden="1">{"'Surplus Cap'!$A$4:$AB$80"}</definedName>
    <definedName name="___QQQ1" localSheetId="3" hidden="1">{"'Surplus Cap'!$A$4:$AB$80"}</definedName>
    <definedName name="___QQQ1" hidden="1">{"'Surplus Cap'!$A$4:$AB$80"}</definedName>
    <definedName name="__QQQ1" localSheetId="2" hidden="1">{"'Surplus Cap'!$A$4:$AB$80"}</definedName>
    <definedName name="__QQQ1" localSheetId="3" hidden="1">{"'Surplus Cap'!$A$4:$AB$80"}</definedName>
    <definedName name="__QQQ1" hidden="1">{"'Surplus Cap'!$A$4:$AB$80"}</definedName>
    <definedName name="_xlnm._FilterDatabase" localSheetId="2" hidden="1">'CP Summary'!$CZ$34:$DB$74</definedName>
    <definedName name="_Order1" hidden="1">255</definedName>
    <definedName name="_QQQ1" localSheetId="2" hidden="1">{"'Surplus Cap'!$A$4:$AB$80"}</definedName>
    <definedName name="_QQQ1" localSheetId="3" hidden="1">{"'Surplus Cap'!$A$4:$AB$80"}</definedName>
    <definedName name="_QQQ1" hidden="1">{"'Surplus Cap'!$A$4:$AB$80"}</definedName>
    <definedName name="aaa" localSheetId="2" hidden="1">{"'Surplus Cap'!$A$4:$AB$80"}</definedName>
    <definedName name="aaa" localSheetId="3" hidden="1">{"'Surplus Cap'!$A$4:$AB$80"}</definedName>
    <definedName name="aaa" hidden="1">{"'Surplus Cap'!$A$4:$AB$80"}</definedName>
    <definedName name="ab" localSheetId="2" hidden="1">{"'Surplus Cap'!$A$4:$AB$80"}</definedName>
    <definedName name="ab" localSheetId="3" hidden="1">{"'Surplus Cap'!$A$4:$AB$80"}</definedName>
    <definedName name="ab" hidden="1">{"'Surplus Cap'!$A$4:$AB$80"}</definedName>
    <definedName name="BNE_MESSAGES_HIDDEN" localSheetId="2" hidden="1">'[1]JV 012'!#REF!</definedName>
    <definedName name="BNE_MESSAGES_HIDDEN" localSheetId="3" hidden="1">'[1]JV 012'!#REF!</definedName>
    <definedName name="BNE_MESSAGES_HIDDEN" hidden="1">'[1]JV 012'!#REF!</definedName>
    <definedName name="eeee" localSheetId="2" hidden="1">{"'Surplus Cap'!$A$4:$AB$80"}</definedName>
    <definedName name="eeee" localSheetId="3" hidden="1">{"'Surplus Cap'!$A$4:$AB$80"}</definedName>
    <definedName name="eeee" hidden="1">{"'Surplus Cap'!$A$4:$AB$80"}</definedName>
    <definedName name="HTML_CodePage" hidden="1">1252</definedName>
    <definedName name="HTML_Control" localSheetId="2" hidden="1">{"'Surplus Cap'!$A$4:$AB$80"}</definedName>
    <definedName name="HTML_Control" localSheetId="3" hidden="1">{"'Surplus Cap'!$A$4:$AB$80"}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mm" localSheetId="3" hidden="1">{"'Surplus Cap'!$A$4:$AB$80"}</definedName>
    <definedName name="Prod" localSheetId="2" hidden="1">{"'Surplus Cap'!$A$4:$AB$80"}</definedName>
    <definedName name="Prod" localSheetId="3" hidden="1">{"'Surplus Cap'!$A$4:$AB$80"}</definedName>
    <definedName name="Prod" hidden="1">{"'Surplus Cap'!$A$4:$AB$80"}</definedName>
    <definedName name="pt" localSheetId="2" hidden="1">{"'Surplus Cap'!$A$4:$AB$80"}</definedName>
    <definedName name="pt" localSheetId="3" hidden="1">{"'Surplus Cap'!$A$4:$AB$80"}</definedName>
    <definedName name="pt" hidden="1">{"'Surplus Cap'!$A$4:$AB$80"}</definedName>
    <definedName name="Q" localSheetId="2" hidden="1">{"'Surplus Cap'!$A$4:$AB$80"}</definedName>
    <definedName name="Q" localSheetId="3" hidden="1">{"'Surplus Cap'!$A$4:$AB$80"}</definedName>
    <definedName name="Q" hidden="1">{"'Surplus Cap'!$A$4:$AB$80"}</definedName>
    <definedName name="QQ" localSheetId="2" hidden="1">{"'Surplus Cap'!$A$4:$AB$80"}</definedName>
    <definedName name="QQ" localSheetId="3" hidden="1">{"'Surplus Cap'!$A$4:$AB$80"}</definedName>
    <definedName name="QQ" hidden="1">{"'Surplus Cap'!$A$4:$AB$80"}</definedName>
    <definedName name="qqq" localSheetId="2" hidden="1">{"'Surplus Cap'!$A$4:$AB$80"}</definedName>
    <definedName name="qqq" localSheetId="3" hidden="1">{"'Surplus Cap'!$A$4:$AB$80"}</definedName>
    <definedName name="qqq" hidden="1">{"'Surplus Cap'!$A$4:$AB$80"}</definedName>
    <definedName name="QQQQ" localSheetId="2" hidden="1">{"'Surplus Cap'!$A$4:$AB$80"}</definedName>
    <definedName name="QQQQ" localSheetId="3" hidden="1">{"'Surplus Cap'!$A$4:$AB$80"}</definedName>
    <definedName name="QQQQ" hidden="1">{"'Surplus Cap'!$A$4:$AB$80"}</definedName>
    <definedName name="QQQQQ" localSheetId="2" hidden="1">{"'Surplus Cap'!$A$4:$AB$80"}</definedName>
    <definedName name="QQQQQ" localSheetId="3" hidden="1">{"'Surplus Cap'!$A$4:$AB$80"}</definedName>
    <definedName name="QQQQQ" hidden="1">{"'Surplus Cap'!$A$4:$AB$80"}</definedName>
    <definedName name="QQQQQQ" localSheetId="2" hidden="1">{"'Surplus Cap'!$A$4:$AB$80"}</definedName>
    <definedName name="QQQQQQ" localSheetId="3" hidden="1">{"'Surplus Cap'!$A$4:$AB$80"}</definedName>
    <definedName name="QQQQQQ" hidden="1">{"'Surplus Cap'!$A$4:$AB$80"}</definedName>
    <definedName name="sss" localSheetId="2" hidden="1">{"'Surplus Cap'!$A$4:$AB$80"}</definedName>
    <definedName name="sss" localSheetId="3" hidden="1">{"'Surplus Cap'!$A$4:$AB$80"}</definedName>
    <definedName name="sss" hidden="1">{"'Surplus Cap'!$A$4:$AB$80"}</definedName>
    <definedName name="T1_CP_IDL" localSheetId="3" hidden="1">'[2]JV 012'!#REF!</definedName>
    <definedName name="T1_CP_IDL" hidden="1">'[2]JV 012'!#REF!</definedName>
    <definedName name="W" localSheetId="2" hidden="1">{"'Surplus Cap'!$A$4:$AB$80"}</definedName>
    <definedName name="W" localSheetId="3" hidden="1">{"'Surplus Cap'!$A$4:$AB$80"}</definedName>
    <definedName name="W" hidden="1">{"'Surplus Cap'!$A$4:$AB$80"}</definedName>
    <definedName name="WEE" localSheetId="2" hidden="1">{"'Surplus Cap'!$A$4:$AB$80"}</definedName>
    <definedName name="WEE" localSheetId="3" hidden="1">{"'Surplus Cap'!$A$4:$AB$80"}</definedName>
    <definedName name="WEE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AMKOR" localSheetId="3" hidden="1">{"'Surplus Cap'!$A$4:$AB$80"}</definedName>
    <definedName name="ZAMKOR" hidden="1">{"'Surplus Cap'!$A$4:$AB$80"}</definedName>
    <definedName name="zz" localSheetId="2" hidden="1">{"'Surplus Cap'!$A$4:$AB$80"}</definedName>
    <definedName name="zz" localSheetId="3" hidden="1">{"'Surplus Cap'!$A$4:$AB$80"}</definedName>
    <definedName name="zz" hidden="1">{"'Surplus Cap'!$A$4:$AB$80"}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Bruce Lan</author>
    <author>Yoyo Tsou</author>
  </authors>
  <commentList>
    <comment ref="E48" authorId="0" shapeId="0" xr:uid="{00000000-0006-0000-0200-000001000000}">
      <text>
        <r>
          <rPr>
            <sz val="11"/>
            <color theme="1"/>
            <rFont val="新細明體"/>
            <family val="2"/>
            <scheme val="minor"/>
          </rPr>
          <t>Bruce Lan:
3 sets will return on 6/18</t>
        </r>
      </text>
    </comment>
    <comment ref="E54" authorId="1" shapeId="0" xr:uid="{00000000-0006-0000-0200-000002000000}">
      <text>
        <r>
          <rPr>
            <sz val="11"/>
            <color theme="1"/>
            <rFont val="新細明體"/>
            <family val="2"/>
            <scheme val="minor"/>
          </rPr>
          <t>Yoyo Tsou:
2024/8/26 TUF55 transfer ATK(prober)
2024/09/02 QTI拆 MX20板子</t>
        </r>
      </text>
    </comment>
    <comment ref="E55" authorId="0" shapeId="0" xr:uid="{00000000-0006-0000-0200-000003000000}">
      <text>
        <r>
          <rPr>
            <sz val="11"/>
            <color theme="1"/>
            <rFont val="新細明體"/>
            <family val="2"/>
            <scheme val="minor"/>
          </rPr>
          <t>Bruce Lan:
2024/4/16 TUF46/TUF80 change to idlel 12&gt;&gt;10
2024/8/26 TUF34 transfer ATK(prober)
2024/9/2  add 4x DC tester from MX20</t>
        </r>
      </text>
    </comment>
    <comment ref="E56" authorId="0" shapeId="0" xr:uid="{00000000-0006-0000-0200-000004000000}">
      <text>
        <r>
          <rPr>
            <sz val="11"/>
            <color theme="1"/>
            <rFont val="新細明體"/>
            <family val="2"/>
            <scheme val="minor"/>
          </rPr>
          <t>Bruce Lan:
add TUF91 from Aug
add TUF15 from Oct</t>
        </r>
      </text>
    </comment>
    <comment ref="E57" authorId="0" shapeId="0" xr:uid="{00000000-0006-0000-0200-000005000000}">
      <text>
        <r>
          <rPr>
            <sz val="11"/>
            <color theme="1"/>
            <rFont val="新細明體"/>
            <family val="2"/>
            <scheme val="minor"/>
          </rPr>
          <t>Bruce Lan:
remove TUF15 from Oct</t>
        </r>
      </text>
    </comment>
    <comment ref="E61" authorId="0" shapeId="0" xr:uid="{00000000-0006-0000-0200-000006000000}">
      <text>
        <r>
          <rPr>
            <sz val="11"/>
            <color theme="1"/>
            <rFont val="新細明體"/>
            <family val="2"/>
            <scheme val="minor"/>
          </rPr>
          <t>Bruce Lan:
TPAX25 3/26 ship 8&gt;&gt;7
TPAX24 5/31 ship 7&gt;&gt;6
TPAX23 6/14 ship  6&gt;&gt;5</t>
        </r>
      </text>
    </comment>
    <comment ref="E62" authorId="0" shapeId="0" xr:uid="{00000000-0006-0000-0200-000007000000}">
      <text>
        <r>
          <rPr>
            <sz val="11"/>
            <color theme="1"/>
            <rFont val="新細明體"/>
            <family val="2"/>
            <scheme val="minor"/>
          </rPr>
          <t>Bruce Lan:
TASLX05 3/8 ship 4&gt;&gt;3</t>
        </r>
      </text>
    </comment>
    <comment ref="E64" authorId="0" shapeId="0" xr:uid="{00000000-0006-0000-0200-000008000000}">
      <text>
        <r>
          <rPr>
            <sz val="11"/>
            <color theme="1"/>
            <rFont val="新細明體"/>
            <family val="2"/>
            <scheme val="minor"/>
          </rPr>
          <t>Bruce Lan:
20240801 update: TMX01 plan re-sell</t>
        </r>
      </text>
    </comment>
    <comment ref="E68" authorId="0" shapeId="0" xr:uid="{00000000-0006-0000-0200-000009000000}">
      <text>
        <r>
          <rPr>
            <sz val="11"/>
            <color theme="1"/>
            <rFont val="新細明體"/>
            <family val="2"/>
            <scheme val="minor"/>
          </rPr>
          <t>Bruce Lan:
T365028 3/18 ship  27&gt;&gt; 26
T365027 4/12 ship  26&gt;&gt; 24
T365024 4/12 ship
T365013 6/14 ship  24&gt;&gt;23 (2024.06.hold)</t>
        </r>
      </text>
    </comment>
    <comment ref="E69" authorId="0" shapeId="0" xr:uid="{00000000-0006-0000-0200-00000A000000}">
      <text>
        <r>
          <rPr>
            <sz val="11"/>
            <color theme="1"/>
            <rFont val="新細明體"/>
            <family val="2"/>
            <scheme val="minor"/>
          </rPr>
          <t>Bruce Lan:
2024/4/16 add 2 idle TUF46/TUF80 2024/8/26 TUF80
transfer ATK(prober)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<sst xmlns="http://schemas.openxmlformats.org/spreadsheetml/2006/main" count="1086" uniqueCount="359">
  <si>
    <t>Spec</t>
    <phoneticPr fontId="1" type="noConversion"/>
  </si>
  <si>
    <t>Process</t>
  </si>
  <si>
    <t>Tester</t>
  </si>
  <si>
    <t>Customer</t>
  </si>
  <si>
    <t>Month</t>
  </si>
  <si>
    <t>6M FCST ( pcs/wk )</t>
    <phoneticPr fontId="1" type="noConversion"/>
  </si>
  <si>
    <t>Summary</t>
    <phoneticPr fontId="1" type="noConversion"/>
  </si>
  <si>
    <t>產生一sheet命名為 "Data Presentation", 並產生預設表格(如右)</t>
    <phoneticPr fontId="1" type="noConversion"/>
  </si>
  <si>
    <t>Jun'25</t>
  </si>
  <si>
    <t>Jul</t>
  </si>
  <si>
    <t>Aug</t>
  </si>
  <si>
    <t>Sep</t>
  </si>
  <si>
    <t>Oct</t>
  </si>
  <si>
    <t>Nov</t>
  </si>
  <si>
    <t>將CP Summary/ FT Summary 資料依據表格填入相對應位置(部分表格一開始為隱藏狀態)</t>
    <phoneticPr fontId="1" type="noConversion"/>
  </si>
  <si>
    <t>T1 CP</t>
  </si>
  <si>
    <t>HP93K-PS1600_2</t>
  </si>
  <si>
    <t>Advantest / CELENO</t>
  </si>
  <si>
    <t>MachineO/H</t>
  </si>
  <si>
    <r>
      <t xml:space="preserve">idling tester </t>
    </r>
    <r>
      <rPr>
        <sz val="12"/>
        <rFont val="新細明體"/>
        <family val="1"/>
        <charset val="136"/>
      </rPr>
      <t>若為負值則顯示紅底</t>
    </r>
    <phoneticPr fontId="1" type="noConversion"/>
  </si>
  <si>
    <t>Machine require(set/Wk)</t>
  </si>
  <si>
    <t>idling tester</t>
  </si>
  <si>
    <t>相對應位置</t>
    <phoneticPr fontId="1" type="noConversion"/>
  </si>
  <si>
    <t>Prcess</t>
    <phoneticPr fontId="1" type="noConversion"/>
  </si>
  <si>
    <t>依據各sheet 內表格中 Process 資料填入</t>
    <phoneticPr fontId="1" type="noConversion"/>
  </si>
  <si>
    <t>6M FCST ( pcs/wk )</t>
  </si>
  <si>
    <t>Tester</t>
    <phoneticPr fontId="1" type="noConversion"/>
  </si>
  <si>
    <t>依據各sheet 內表格中Tester 資料填入</t>
    <phoneticPr fontId="1" type="noConversion"/>
  </si>
  <si>
    <t xml:space="preserve">Customer </t>
    <phoneticPr fontId="1" type="noConversion"/>
  </si>
  <si>
    <t>依據各sheet 內表格中Customer 資料填入</t>
    <phoneticPr fontId="1" type="noConversion"/>
  </si>
  <si>
    <t>HP93K-PS1600_EOS</t>
  </si>
  <si>
    <t>NXP</t>
  </si>
  <si>
    <t>MachineO/H</t>
    <phoneticPr fontId="1" type="noConversion"/>
  </si>
  <si>
    <t>6M FCST ( pcs/wk )_Month</t>
    <phoneticPr fontId="1" type="noConversion"/>
  </si>
  <si>
    <r>
      <t>依據MachineO/H,Machine require(set/Wk),idling tester表格內的表頭月份填入</t>
    </r>
    <r>
      <rPr>
        <sz val="12"/>
        <rFont val="Calibri"/>
        <family val="2"/>
      </rPr>
      <t xml:space="preserve">, </t>
    </r>
    <r>
      <rPr>
        <sz val="12"/>
        <rFont val="新細明體"/>
        <family val="1"/>
        <charset val="136"/>
      </rPr>
      <t>由第一個月(當月)向右延伸至六個月</t>
    </r>
    <phoneticPr fontId="1" type="noConversion"/>
  </si>
  <si>
    <t>Machine require(set/Wk)</t>
    <phoneticPr fontId="1" type="noConversion"/>
  </si>
  <si>
    <t>依據各sheet 內表格中MachineO/H 資料填入</t>
    <phoneticPr fontId="1" type="noConversion"/>
  </si>
  <si>
    <t>idling tester</t>
    <phoneticPr fontId="1" type="noConversion"/>
  </si>
  <si>
    <t>依據各sheet 內表格中Machine require(set/Wk)資料填入</t>
    <phoneticPr fontId="1" type="noConversion"/>
  </si>
  <si>
    <t>依據各sheet 內表格中idling tester(CP) Machine Balance (set)(FT) 資料填入</t>
    <phoneticPr fontId="1" type="noConversion"/>
  </si>
  <si>
    <t>維持空白, 不須填入值</t>
    <phoneticPr fontId="1" type="noConversion"/>
  </si>
  <si>
    <t>STS-T2</t>
  </si>
  <si>
    <t>TSMC IPD / APM</t>
  </si>
  <si>
    <t>HP93K-PS1600-WSRF</t>
  </si>
  <si>
    <t>ALTAIR</t>
  </si>
  <si>
    <t>UFLEX-PLUS</t>
  </si>
  <si>
    <t>CIRRUS&amp;ALPHAWAVE</t>
    <phoneticPr fontId="1" type="noConversion"/>
  </si>
  <si>
    <t>HP93K-PS1600_GF_1</t>
  </si>
  <si>
    <t>GF</t>
  </si>
  <si>
    <t>HP93K-PS1600_3</t>
  </si>
  <si>
    <t>AVAGO</t>
  </si>
  <si>
    <t>HP93K-PS400_1</t>
  </si>
  <si>
    <t>Montage</t>
  </si>
  <si>
    <t>T6 CP</t>
  </si>
  <si>
    <t>T2000</t>
  </si>
  <si>
    <t>STM</t>
  </si>
  <si>
    <t>UFLEX-SC</t>
  </si>
  <si>
    <t>MARVELL / Esperanto</t>
  </si>
  <si>
    <t>DxV</t>
  </si>
  <si>
    <t>SKYWORKS</t>
  </si>
  <si>
    <t>ASLX</t>
  </si>
  <si>
    <t>SWKS</t>
  </si>
  <si>
    <t>2025-Jun</t>
  </si>
  <si>
    <t>FT</t>
  </si>
  <si>
    <t>HP93K-PS1600</t>
  </si>
  <si>
    <t>BROADCOM</t>
  </si>
  <si>
    <t>UFLEX-MS</t>
  </si>
  <si>
    <t>MARVELL</t>
  </si>
  <si>
    <t>UFLEX-BRCM</t>
  </si>
  <si>
    <t>HP93K-PS1600_GF</t>
  </si>
  <si>
    <t>#_T1_Prod_CP_By_Platform</t>
  </si>
  <si>
    <t>MajorCust</t>
  </si>
  <si>
    <t>~</t>
  </si>
  <si>
    <t>attolap01/ATTFBP01</t>
  </si>
  <si>
    <t>#_LANGUAGE</t>
  </si>
  <si>
    <t>#_T6_Prod_CP_By_Platform</t>
  </si>
  <si>
    <t>1127 updated</t>
  </si>
  <si>
    <t>Current</t>
  </si>
  <si>
    <t>6M FCST ( pcs/WK )</t>
  </si>
  <si>
    <t>Commitment(set/Wk)</t>
  </si>
  <si>
    <t>Tester Utilization</t>
  </si>
  <si>
    <t>Machine O/H (set)</t>
  </si>
  <si>
    <t>Idling tester (set)</t>
  </si>
  <si>
    <t>U/C Reason</t>
  </si>
  <si>
    <t>Avg. Util.</t>
  </si>
  <si>
    <t>TESTER ID</t>
  </si>
  <si>
    <t>Remark</t>
  </si>
  <si>
    <t>Index</t>
  </si>
  <si>
    <t>Site</t>
  </si>
  <si>
    <t>Major Device</t>
  </si>
  <si>
    <t>Target UE</t>
  </si>
  <si>
    <t>Prober Manufacturer</t>
  </si>
  <si>
    <t>Prober Type</t>
  </si>
  <si>
    <t>Docking</t>
  </si>
  <si>
    <t>Prober (set)</t>
  </si>
  <si>
    <t>O/H (set)</t>
  </si>
  <si>
    <t>Dec</t>
  </si>
  <si>
    <t>2026-Jan</t>
  </si>
  <si>
    <t>Feb</t>
  </si>
  <si>
    <t>Mar</t>
  </si>
  <si>
    <t>Apr</t>
  </si>
  <si>
    <t>May</t>
  </si>
  <si>
    <t>Jun</t>
  </si>
  <si>
    <t>Avg.</t>
  </si>
  <si>
    <t>Max</t>
  </si>
  <si>
    <t>HP93K-C400</t>
  </si>
  <si>
    <t>T1</t>
  </si>
  <si>
    <t>HP93K-C400E</t>
  </si>
  <si>
    <t xml:space="preserve">SEMICS  </t>
  </si>
  <si>
    <t>OPUS</t>
  </si>
  <si>
    <t>Combo350</t>
  </si>
  <si>
    <t>T9314</t>
  </si>
  <si>
    <t>U339/SEC/GF/QCT</t>
  </si>
  <si>
    <t>LAHAINA/CHITWAN</t>
  </si>
  <si>
    <t>TEL</t>
  </si>
  <si>
    <t>Precio / Precio XL</t>
  </si>
  <si>
    <t>Direct Docking</t>
  </si>
  <si>
    <t>SEC 2x: 60, 62; T93101
-T9376, already remove to ATK on Feb'25
+T93101 in 6/18
-106;  transfer to Idle and will support other new cus on 2/24'25
-T9346, will support STM in Jun</t>
  </si>
  <si>
    <t>T93C25, 26, T9387 transfer from Celeno in Mar/M'25</t>
  </si>
  <si>
    <t>HP93K-PS1600-RF</t>
  </si>
  <si>
    <t>IMC / Avago</t>
  </si>
  <si>
    <t>T9392</t>
  </si>
  <si>
    <t>HP93K-PS1600_RHEA</t>
  </si>
  <si>
    <t>TEL/TSK</t>
  </si>
  <si>
    <t>17x rhea+eos: Amkor-&gt; T9345, 115~119, T9350, 64, 108, 65; Consign -&gt; T93C17~23</t>
  </si>
  <si>
    <t>HP93K-PS1600_MPXX</t>
  </si>
  <si>
    <t>2x mp24/25: T9357, 109</t>
  </si>
  <si>
    <t>HP93K-PS1601</t>
  </si>
  <si>
    <t>HP93K-PS400</t>
  </si>
  <si>
    <t>ADV</t>
  </si>
  <si>
    <t>T93137</t>
  </si>
  <si>
    <t>HP93K-PS400_C</t>
  </si>
  <si>
    <t>T9341</t>
  </si>
  <si>
    <t xml:space="preserve">IFLEX </t>
  </si>
  <si>
    <t>IFLEX-MS</t>
  </si>
  <si>
    <t>CIRRUS</t>
  </si>
  <si>
    <t>BBKing</t>
  </si>
  <si>
    <t>SEMICS  / TEL</t>
  </si>
  <si>
    <t>OPUS / P12</t>
  </si>
  <si>
    <t>Combo440</t>
  </si>
  <si>
    <t>Amkor: , 09, 10,  19, 20; Consign: TIFC02, 04, 05
-TIF05, TIF15, TIF21 remove to Idle</t>
  </si>
  <si>
    <t>STS</t>
  </si>
  <si>
    <t>TMIW81/TMKZ86B/TMKF76B</t>
  </si>
  <si>
    <t>OPUS/Precio / Precio XL</t>
  </si>
  <si>
    <t>Combo350 / Direct Docking</t>
  </si>
  <si>
    <t>propose pull in</t>
  </si>
  <si>
    <t>TNI01~TNI33</t>
  </si>
  <si>
    <t xml:space="preserve">UFLEX HD </t>
  </si>
  <si>
    <t>UFLEX-HD</t>
  </si>
  <si>
    <t>Amkor: TUF49; Consign: TUF42</t>
  </si>
  <si>
    <t>UFLEX-HDH</t>
  </si>
  <si>
    <t>BBKing / BERRY</t>
  </si>
  <si>
    <t>Amkor: TUF29, 38, 48, 54, 62; Consign: TUFC01~05</t>
  </si>
  <si>
    <t>DIAMONDX</t>
  </si>
  <si>
    <t>DIAMOND X</t>
  </si>
  <si>
    <t>pSEMI</t>
  </si>
  <si>
    <t>Consign: TDX03~05</t>
  </si>
  <si>
    <t>WDF12DP</t>
  </si>
  <si>
    <t>T93102, T93103</t>
  </si>
  <si>
    <t>increase utilization and full commit</t>
  </si>
  <si>
    <t>Consign: TUFC06, 07; Lease: TUFP01, 02</t>
  </si>
  <si>
    <t>ETS800</t>
  </si>
  <si>
    <t>ETS-800</t>
  </si>
  <si>
    <t>EM</t>
  </si>
  <si>
    <t xml:space="preserve">TE803 already transfer to ATK on 2024/7/29
 </t>
  </si>
  <si>
    <t>HP93K-PS1600_Ampere</t>
  </si>
  <si>
    <t>Ampere</t>
  </si>
  <si>
    <t>T93123, 124 already transfer to ATK in Dec'24</t>
  </si>
  <si>
    <t>continue to commit 1x</t>
  </si>
  <si>
    <t xml:space="preserve">T9388
</t>
  </si>
  <si>
    <t>continue to commit 3x and propose linear load</t>
  </si>
  <si>
    <t>T93104,T9358, T9359,  T9355</t>
  </si>
  <si>
    <t>Idle</t>
  </si>
  <si>
    <t>Idle (partial config)</t>
  </si>
  <si>
    <t>-1x T93101 return to QTI/SEC support Jacala
- 1x T9376 will transfer to ATK on Mar'25
- 1x T9388 change to GF Mar'25
+ TIF05 will remove to ATP
+ TIF15 TIF21 will transfer to AIT
+T9346 
+T93106 will support STM on jun;</t>
  </si>
  <si>
    <t>T1 CP Subtotal</t>
  </si>
  <si>
    <t>Utilization</t>
  </si>
  <si>
    <t>CATALYST MS</t>
  </si>
  <si>
    <t>T6</t>
  </si>
  <si>
    <t>CATALYST-RF</t>
  </si>
  <si>
    <t>GF(IBM) / QCT</t>
  </si>
  <si>
    <t>P-12XLn+</t>
  </si>
  <si>
    <t>TABFG040</t>
  </si>
  <si>
    <t>HP93K-PS1600_C</t>
  </si>
  <si>
    <t>UBLOX</t>
  </si>
  <si>
    <t>OPUS3</t>
  </si>
  <si>
    <t>T9373,113,114,121,120  co share with STM in Jun</t>
  </si>
  <si>
    <t>-1x T9354 SWAP to ATK 93K STH for T3 Annapuna case on 3/27</t>
  </si>
  <si>
    <t>GF / SKYWORKS</t>
  </si>
  <si>
    <t>Precio</t>
  </si>
  <si>
    <t xml:space="preserve">T9325,26 already transfer to ATK on 2/26'25
</t>
  </si>
  <si>
    <t>HP93K-PS800</t>
  </si>
  <si>
    <t>T9322</t>
  </si>
  <si>
    <t>HP93K-P600</t>
  </si>
  <si>
    <t>MICROCHOP / QL</t>
  </si>
  <si>
    <t>T9305</t>
  </si>
  <si>
    <t>SWKS / QCT / GF</t>
  </si>
  <si>
    <t>PK5503 / CLEARLAKE</t>
  </si>
  <si>
    <t>OPUS3/Precio XL &amp; Precio</t>
  </si>
  <si>
    <t xml:space="preserve">TIF01
-TIF13 will transfer to AIT on 4/14'25
</t>
  </si>
  <si>
    <t>J750</t>
  </si>
  <si>
    <t>J750EX</t>
  </si>
  <si>
    <t>RENESAS / INFINEON</t>
  </si>
  <si>
    <t>TJ7502,TJ7504</t>
  </si>
  <si>
    <t>MAGNUM SV</t>
  </si>
  <si>
    <t>MAGNUM_C</t>
  </si>
  <si>
    <t>LATTICE</t>
  </si>
  <si>
    <t>P-12XLn+/PRECIO</t>
  </si>
  <si>
    <t>TMG04,05</t>
  </si>
  <si>
    <t>MAGNUM_STM</t>
  </si>
  <si>
    <t>TMG06</t>
  </si>
  <si>
    <t>UBAQ</t>
  </si>
  <si>
    <t>T2K07, 08, 09, 10, 11, 12, 13,  26, 27, 30, 31, 32, 34, 35
;T2K14 will transfer to ATK on 2/6'25</t>
  </si>
  <si>
    <t>T2000-RF_STM</t>
  </si>
  <si>
    <t>OPUS4</t>
  </si>
  <si>
    <t>Combo441</t>
  </si>
  <si>
    <t>T2K29,  (2nd RF T2K34)</t>
  </si>
  <si>
    <t>UFLEX-RF_STM</t>
  </si>
  <si>
    <t>TUF16</t>
  </si>
  <si>
    <t>STS_C_QTI</t>
  </si>
  <si>
    <t xml:space="preserve">QTI
</t>
  </si>
  <si>
    <t>HAHN RSW3801 FULL</t>
  </si>
  <si>
    <t>P-12XLn/P12/Precio XL</t>
  </si>
  <si>
    <t>TSTS01,02,13,14</t>
  </si>
  <si>
    <t>UFLEX-HD-PM</t>
  </si>
  <si>
    <t>UMC</t>
  </si>
  <si>
    <t>KANDAON</t>
  </si>
  <si>
    <t>PRECIO/WDF12DP/OPUS3</t>
  </si>
  <si>
    <t xml:space="preserve"> TUF71(only 1x for QTC PMIC, 不可動)
remove TUF69 in 11/27'24
</t>
  </si>
  <si>
    <t>UFLEX-HD-RF</t>
  </si>
  <si>
    <t>TSMC U339 / QCT</t>
  </si>
  <si>
    <t>CHEROKEE 3.2</t>
  </si>
  <si>
    <t>PRECIO/Precio XL/WDF12DP+</t>
  </si>
  <si>
    <t>LPD or DD</t>
  </si>
  <si>
    <t>-TUF36 move to idle
- TUF45 transfer to idle due to parts alreay send to ATK on 1/15'25</t>
  </si>
  <si>
    <t>UFLEX-HD-RF-440</t>
  </si>
  <si>
    <t>QTI</t>
  </si>
  <si>
    <t>IRIS</t>
  </si>
  <si>
    <t xml:space="preserve">TUF25 remove to BRCM Uflex-HD
</t>
  </si>
  <si>
    <t>UFLEX-HD-ZETA</t>
  </si>
  <si>
    <t>TSMC U339</t>
  </si>
  <si>
    <t>LEPTON SD</t>
  </si>
  <si>
    <t>LPD</t>
  </si>
  <si>
    <t xml:space="preserve"> TUF59
-1x TUF65 no parts change to idle 3/17'25</t>
  </si>
  <si>
    <t>UFLEX-HD-ZETA-LPD</t>
  </si>
  <si>
    <t>TSMC U339 / QCT / UMC</t>
  </si>
  <si>
    <t>REX/ AL70</t>
  </si>
  <si>
    <t>OPUS/Precio XL</t>
  </si>
  <si>
    <t>TUF73</t>
  </si>
  <si>
    <t>UFLEX-HD-ZETA-MX20</t>
  </si>
  <si>
    <t>TSMC U339/ QCT</t>
  </si>
  <si>
    <t>Beamer CP2</t>
  </si>
  <si>
    <t>OPUS3/Precio XL/Precio</t>
  </si>
  <si>
    <t>,TUF60,TUF61,TUF64,TUF77,TUF82,TUF102, CP2
-TUF39,TUF58 will transfer to ATK in Aug</t>
  </si>
  <si>
    <t>UFLEX MS</t>
  </si>
  <si>
    <t>UFLEX-DC</t>
  </si>
  <si>
    <t>SEC/ QCT</t>
  </si>
  <si>
    <t>Beamer / STREAMER / MAGNUS</t>
  </si>
  <si>
    <t xml:space="preserve">TUF22,TUF23,TUF55,  TUF70,  TUF83, TUF101, TUF 113;
TUF28, TUF31 (for CELENO ),TUF79&gt;tranfer to idle due to parts already send to ATK 1/15'25
-TUF57 transfer to ATK in Jul
</t>
  </si>
  <si>
    <t>TUF96,TUF91 from FT, TUF15 from STM
will return TUF92 from FT in Aug/M</t>
  </si>
  <si>
    <t>UFLEX-MS_STM</t>
  </si>
  <si>
    <t>RIGEL4</t>
  </si>
  <si>
    <t>P-13XLn+</t>
  </si>
  <si>
    <t>Combo351</t>
  </si>
  <si>
    <t>TUF18,TUF86,TUF87</t>
  </si>
  <si>
    <t>UFLEX-MS(REGULUS)_STM</t>
  </si>
  <si>
    <t>TUF10,TUF21,TUF76,TUF97</t>
  </si>
  <si>
    <t>TDXV01</t>
  </si>
  <si>
    <t>PAX</t>
  </si>
  <si>
    <t>T2000_C</t>
  </si>
  <si>
    <t>SOCIONEXT</t>
  </si>
  <si>
    <t>T2K03, T2K02 already returned to the customer in the first half of 2024.</t>
  </si>
  <si>
    <t>ASLx</t>
  </si>
  <si>
    <t>LTXC-PAX_C</t>
  </si>
  <si>
    <t>TPAX03,04,06,08,11  (TPAX23 tranfered already)</t>
  </si>
  <si>
    <t>TASLX01,03,24</t>
  </si>
  <si>
    <t>FUSION EX</t>
  </si>
  <si>
    <t>UFLEX-MS_C</t>
  </si>
  <si>
    <t>BROADCOM/Qrovo(RF)</t>
  </si>
  <si>
    <t>Precio XL</t>
  </si>
  <si>
    <t xml:space="preserve">TUF93,TUF94,TUF95,TUF98,TUF99, TUF103,TUF104,TUF105,TUF116,TUF117
+ TUF25 1xUFLEX-HD-RF-440
+ TUF115 1xUFLEX-RF(Qorvo)
</t>
  </si>
  <si>
    <t>FUSION MX</t>
  </si>
  <si>
    <t>FUSION-MX_C</t>
  </si>
  <si>
    <t>TMX03, TEX01-&gt;UBLOX consign  ( 1x Fusion MX and 1xFusion EX)</t>
  </si>
  <si>
    <t xml:space="preserve">TMX01-&gt;Amkor (20240801 updaet : re-sell)    </t>
  </si>
  <si>
    <t>ETS-364</t>
  </si>
  <si>
    <t>FUSION-MX</t>
  </si>
  <si>
    <t>MICROCHIP / INFINEON</t>
  </si>
  <si>
    <t>OPUS3/P-12XLn+</t>
  </si>
  <si>
    <t xml:space="preserve">Mircochip :TMX02, IFX:TMX09
TMX04 resell on 2/20
 </t>
  </si>
  <si>
    <t>ASL3K</t>
  </si>
  <si>
    <t>OPUS/P8XL</t>
  </si>
  <si>
    <t>TEA02,04,05,09,10,11</t>
  </si>
  <si>
    <t>QORVO / MARVELL</t>
  </si>
  <si>
    <t>TUF08</t>
  </si>
  <si>
    <t>CHROMA 3650</t>
  </si>
  <si>
    <t xml:space="preserve">T365001
T365002
T365004
T365005
T365006
T365007
T365008
T365009
T365010
T365011
T365012
T365013
T365014
T365015
T365016
T365017
T365018
T365019
T365020
T365021
T365022
T365023
T365026
</t>
  </si>
  <si>
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</si>
  <si>
    <t>TUPS01~05</t>
  </si>
  <si>
    <t>STS_C</t>
  </si>
  <si>
    <t>INFINEON</t>
  </si>
  <si>
    <t xml:space="preserve">T4C01,T4C02, ,T4C03, T4A01(amkor own)
</t>
  </si>
  <si>
    <t>CP sub total</t>
  </si>
  <si>
    <t>G.Total</t>
  </si>
  <si>
    <t>Note.</t>
  </si>
  <si>
    <t>1.</t>
  </si>
  <si>
    <t>T6 QTI eco: 43x(UFLEX series)</t>
  </si>
  <si>
    <t>6M FCST ( Ku/WK )</t>
  </si>
  <si>
    <t>CATALYST-MS</t>
  </si>
  <si>
    <t>GF(IBM)</t>
  </si>
  <si>
    <t>QUICKLOGIC</t>
  </si>
  <si>
    <t>INTEL</t>
  </si>
  <si>
    <t>SAPPHIRE</t>
  </si>
  <si>
    <t>SIMG</t>
  </si>
  <si>
    <t>T6575</t>
  </si>
  <si>
    <t>T6672</t>
  </si>
  <si>
    <t>MARVELL / GF(IBM)</t>
  </si>
  <si>
    <t>UFLEX-MS_CU32</t>
  </si>
  <si>
    <t>UFLEX_MS_C</t>
  </si>
  <si>
    <t>FT_H3001</t>
  </si>
  <si>
    <t>UFLEX-MS_AP</t>
  </si>
  <si>
    <t>ANNAPURNA</t>
  </si>
  <si>
    <t>CapEX will be propose around Mar, keep monitor FCST</t>
  </si>
  <si>
    <t>UFLEX-RF</t>
  </si>
  <si>
    <t>QORVO</t>
  </si>
  <si>
    <t>NVIDIA</t>
  </si>
  <si>
    <t>Tester shortage until Apr</t>
  </si>
  <si>
    <t>HP93K-PS1600-AMPERE</t>
  </si>
  <si>
    <t>AMPERE</t>
  </si>
  <si>
    <t>HP93K-PS1600_AP</t>
  </si>
  <si>
    <t>SLT2-AMPERE</t>
  </si>
  <si>
    <t>Major</t>
  </si>
  <si>
    <t xml:space="preserve">Machine </t>
  </si>
  <si>
    <t xml:space="preserve">Major </t>
  </si>
  <si>
    <t>Machine Balance (set)</t>
    <phoneticPr fontId="1" type="noConversion"/>
  </si>
  <si>
    <t>Under commit Reason</t>
  </si>
  <si>
    <t>Plant</t>
  </si>
  <si>
    <t>Tester ID</t>
  </si>
  <si>
    <t>#TABFG090 #TABFG120; C : #TABFG140, #TABFG150</t>
  </si>
  <si>
    <t>#T9324</t>
  </si>
  <si>
    <t>#T9342</t>
  </si>
  <si>
    <t>#T9319</t>
  </si>
  <si>
    <t>#T9338 #T9377 #T93122</t>
  </si>
  <si>
    <t>#TS004</t>
  </si>
  <si>
    <t>#TUF92 (UFLEX-MS)  #TUF88 (UFLEX-SC) #TUF91 (UFLEX-MS)</t>
  </si>
  <si>
    <t>co-sharing annapurna uflex</t>
  </si>
  <si>
    <t xml:space="preserve">C : #TUF41 </t>
  </si>
  <si>
    <t>push out</t>
  </si>
  <si>
    <t>#TUF100</t>
  </si>
  <si>
    <t>#TUF24</t>
  </si>
  <si>
    <t xml:space="preserve">C : UFLEX-MS #TUF120 #TUF121 #TUF122 #TUF123 #TUF124  </t>
  </si>
  <si>
    <t>#T9391 #T9363 #T9369</t>
  </si>
  <si>
    <t>#T9393 #T9361</t>
  </si>
  <si>
    <t>#T93125 #T93126</t>
  </si>
  <si>
    <t>committed tester qty based on equipment LT and was align with Corp, GTS and BU</t>
  </si>
  <si>
    <t>G.TTL</t>
  </si>
  <si>
    <t>只需產生 idling tester 近六個月有負值的資料</t>
    <phoneticPr fontId="1" type="noConversion"/>
  </si>
  <si>
    <t>2025-Jul</t>
    <phoneticPr fontId="1" type="noConversion"/>
  </si>
  <si>
    <t>2025-Jul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</si>
</sst>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76" formatCode="#,##0.00_ "/>
    <numFmt numFmtId="177" formatCode="0.00_);[Red]\(0.00\)"/>
    <numFmt numFmtId="178" formatCode="#,##0.0_);[Red]\(#,##0.0\)"/>
    <numFmt numFmtId="179" formatCode="0.0_);[Red]\(0.0\)"/>
    <numFmt numFmtId="180" formatCode="_-* #,##0_-;\-* #,##0_-;_-* &quot;-&quot;??_-;_-@_-"/>
    <numFmt numFmtId="181" formatCode="_-* #,##0.0_-;\-* #,##0.0_-;_-* &quot;-&quot;??_-;_-@_-"/>
    <numFmt numFmtId="182" formatCode="#,##0.0;[Red]\-#,##0.0"/>
    <numFmt numFmtId="183" formatCode="0.0%"/>
    <numFmt numFmtId="184" formatCode=";;;&quot;#_T1_Prod_CP_By_Platform&quot;"/>
    <numFmt numFmtId="185" formatCode=";;;&quot;#_T6_Prod_CP_By_Platform&quot;"/>
    <numFmt numFmtId="186" formatCode="0.0"/>
    <numFmt numFmtId="187" formatCode="_-* #,##0.00_-;[Red]\ \(#,##0.00\)_-;_-* &quot;-&quot;???"/>
    <numFmt numFmtId="188" formatCode=";;;"/>
    <numFmt numFmtId="189" formatCode="_-* #,##0_-;[Red]\ \(#,##0\)_-;_-* &quot;-&quot;???"/>
  </numFmts>
  <fonts count="3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 tint="-0.14999847407452621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name val="Calibri"/>
      <family val="2"/>
    </font>
    <font>
      <sz val="12"/>
      <name val="新細明體"/>
      <family val="1"/>
      <charset val="136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12"/>
      <color indexed="10"/>
      <name val="Calibri"/>
      <family val="2"/>
    </font>
    <font>
      <sz val="12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1" tint="0.499984740745262"/>
      <name val="Calibri"/>
      <family val="2"/>
    </font>
    <font>
      <sz val="10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sz val="10"/>
      <color rgb="FFCBD5E0"/>
      <name val="Arial"/>
      <family val="2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2"/>
      <color theme="1"/>
      <name val="Arial"/>
      <family val="2"/>
      <charset val="136"/>
    </font>
    <font>
      <sz val="10"/>
      <color rgb="FF212236"/>
      <name val="Segoe UI"/>
      <family val="2"/>
    </font>
    <font>
      <sz val="14"/>
      <color rgb="FF212236"/>
      <name val="Segoe UI"/>
      <family val="2"/>
    </font>
    <font>
      <sz val="11"/>
      <color rgb="FF212236"/>
      <name val="Segoe UI"/>
      <family val="2"/>
    </font>
    <font>
      <sz val="10"/>
      <color rgb="FFCBD5E0"/>
      <name val="Segoe UI"/>
      <family val="2"/>
    </font>
    <font>
      <sz val="10"/>
      <color rgb="FF637381"/>
      <name val="Segoe UI"/>
      <family val="2"/>
    </font>
    <font>
      <b/>
      <sz val="10"/>
      <color rgb="FF212236"/>
      <name val="Segoe UI"/>
      <family val="2"/>
    </font>
    <font>
      <sz val="11"/>
      <color theme="1"/>
      <name val="Calibri"/>
      <family val="2"/>
    </font>
    <font>
      <sz val="8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rgb="FFFF0000"/>
      </patternFill>
    </fill>
  </fills>
  <borders count="85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72">
    <xf numFmtId="0" fontId="0" fillId="0" borderId="0"/>
    <xf numFmtId="0" fontId="4" fillId="7" borderId="0"/>
    <xf numFmtId="0" fontId="4" fillId="6" borderId="0">
      <alignment horizontal="left"/>
    </xf>
    <xf numFmtId="0" fontId="4" fillId="2" borderId="0">
      <alignment horizontal="left"/>
    </xf>
    <xf numFmtId="0" fontId="4" fillId="7" borderId="0">
      <alignment horizontal="left"/>
    </xf>
    <xf numFmtId="187" fontId="5" fillId="3" borderId="1"/>
    <xf numFmtId="0" fontId="4" fillId="4" borderId="0">
      <alignment horizontal="left"/>
    </xf>
    <xf numFmtId="0" fontId="6" fillId="5" borderId="0">
      <alignment horizontal="left"/>
    </xf>
    <xf numFmtId="0" fontId="4" fillId="6" borderId="0">
      <alignment horizontal="left"/>
    </xf>
    <xf numFmtId="0" fontId="7" fillId="13" borderId="0">
      <alignment horizontal="left"/>
    </xf>
    <xf numFmtId="188" fontId="4" fillId="0" borderId="0">
      <alignment horizontal="left"/>
    </xf>
    <xf numFmtId="188" fontId="8" fillId="0" borderId="0">
      <alignment horizontal="left"/>
    </xf>
    <xf numFmtId="188" fontId="4" fillId="0" borderId="0"/>
    <xf numFmtId="188" fontId="8" fillId="0" borderId="0"/>
    <xf numFmtId="49" fontId="4" fillId="2" borderId="0">
      <alignment horizontal="left"/>
    </xf>
    <xf numFmtId="49" fontId="4" fillId="4" borderId="0">
      <alignment horizontal="left"/>
    </xf>
    <xf numFmtId="49" fontId="7" fillId="5" borderId="0">
      <alignment horizontal="left"/>
    </xf>
    <xf numFmtId="49" fontId="4" fillId="6" borderId="0">
      <alignment horizontal="left"/>
    </xf>
    <xf numFmtId="49" fontId="4" fillId="7" borderId="0">
      <alignment horizontal="left"/>
    </xf>
    <xf numFmtId="49" fontId="7" fillId="13" borderId="0">
      <alignment horizontal="left"/>
    </xf>
    <xf numFmtId="0" fontId="4" fillId="6" borderId="0">
      <alignment horizontal="left"/>
    </xf>
    <xf numFmtId="0" fontId="4" fillId="2" borderId="0">
      <alignment horizontal="left"/>
    </xf>
    <xf numFmtId="0" fontId="4" fillId="6" borderId="0">
      <alignment horizontal="left"/>
    </xf>
    <xf numFmtId="0" fontId="4" fillId="7" borderId="0"/>
    <xf numFmtId="43" fontId="3" fillId="0" borderId="0">
      <alignment vertical="center"/>
    </xf>
    <xf numFmtId="0" fontId="9" fillId="0" borderId="0">
      <alignment vertical="center"/>
    </xf>
    <xf numFmtId="9" fontId="9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43" fontId="13" fillId="0" borderId="0">
      <alignment vertical="center"/>
    </xf>
    <xf numFmtId="9" fontId="10" fillId="0" borderId="0">
      <alignment vertical="center"/>
    </xf>
    <xf numFmtId="43" fontId="3" fillId="0" borderId="0">
      <alignment vertical="center"/>
    </xf>
    <xf numFmtId="9" fontId="3" fillId="0" borderId="0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>
      <alignment horizontal="center"/>
    </xf>
    <xf numFmtId="0" fontId="21" fillId="17" borderId="33">
      <alignment horizontal="center"/>
    </xf>
    <xf numFmtId="0" fontId="21" fillId="0" borderId="0"/>
    <xf numFmtId="0" fontId="21" fillId="18" borderId="0">
      <alignment horizontal="right"/>
    </xf>
    <xf numFmtId="188" fontId="21" fillId="18" borderId="0">
      <alignment horizontal="right"/>
    </xf>
    <xf numFmtId="0" fontId="21" fillId="19" borderId="0"/>
    <xf numFmtId="188" fontId="21" fillId="19" borderId="0"/>
    <xf numFmtId="189" fontId="21" fillId="17" borderId="0"/>
    <xf numFmtId="0" fontId="26" fillId="19" borderId="0"/>
    <xf numFmtId="0" fontId="26" fillId="19" borderId="0"/>
    <xf numFmtId="0" fontId="21" fillId="18" borderId="0">
      <alignment horizontal="right" vertical="center"/>
    </xf>
    <xf numFmtId="0" fontId="27" fillId="0" borderId="0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>
      <alignment horizontal="center"/>
    </xf>
    <xf numFmtId="0" fontId="28" fillId="0" borderId="47">
      <alignment horizontal="center"/>
    </xf>
    <xf numFmtId="0" fontId="28" fillId="0" borderId="48"/>
    <xf numFmtId="0" fontId="28" fillId="0" borderId="0">
      <alignment horizontal="right"/>
    </xf>
    <xf numFmtId="188" fontId="28" fillId="0" borderId="0">
      <alignment horizontal="right"/>
    </xf>
    <xf numFmtId="0" fontId="28" fillId="0" borderId="0"/>
    <xf numFmtId="188" fontId="28" fillId="0" borderId="0"/>
    <xf numFmtId="3" fontId="28" fillId="0" borderId="0"/>
    <xf numFmtId="0" fontId="33" fillId="0" borderId="0"/>
    <xf numFmtId="0" fontId="33" fillId="0" borderId="0"/>
    <xf numFmtId="0" fontId="21" fillId="18" borderId="0">
      <alignment horizontal="right" vertical="center"/>
    </xf>
    <xf numFmtId="0" fontId="25" fillId="16" borderId="0">
      <alignment horizontal="center" vertical="center"/>
    </xf>
    <xf numFmtId="0" fontId="21" fillId="17" borderId="33">
      <alignment horizontal="center" vertical="center"/>
    </xf>
    <xf numFmtId="0" fontId="22" fillId="0" borderId="0">
      <alignment vertical="center"/>
    </xf>
    <xf numFmtId="0" fontId="23" fillId="0" borderId="0">
      <alignment vertical="center"/>
    </xf>
    <xf numFmtId="0" fontId="21" fillId="0" borderId="31">
      <alignment vertical="center"/>
    </xf>
    <xf numFmtId="0" fontId="24" fillId="0" borderId="0">
      <alignment vertical="center"/>
    </xf>
  </cellStyleXfs>
  <cellXfs count="367">
    <xf numFmtId="0" fontId="0" fillId="0" borderId="0" xfId="0"/>
    <xf numFmtId="0" fontId="2" fillId="0" borderId="0" xfId="0" applyFont="1"/>
    <xf numFmtId="0" fontId="11" fillId="10" borderId="0" xfId="27" applyFont="1" applyFill="1">
      <alignment vertical="center"/>
    </xf>
    <xf numFmtId="0" fontId="12" fillId="10" borderId="0" xfId="27" applyFont="1" applyFill="1">
      <alignment vertical="center"/>
    </xf>
    <xf numFmtId="0" fontId="14" fillId="10" borderId="0" xfId="28" applyFont="1" applyFill="1" applyAlignment="1">
      <alignment horizontal="center" vertical="center"/>
    </xf>
    <xf numFmtId="0" fontId="14" fillId="10" borderId="0" xfId="28" applyFont="1" applyFill="1">
      <alignment vertical="center"/>
    </xf>
    <xf numFmtId="0" fontId="14" fillId="11" borderId="3" xfId="28" applyFont="1" applyFill="1" applyBorder="1">
      <alignment vertical="center"/>
    </xf>
    <xf numFmtId="0" fontId="14" fillId="11" borderId="6" xfId="28" applyFont="1" applyFill="1" applyBorder="1">
      <alignment vertical="center"/>
    </xf>
    <xf numFmtId="176" fontId="14" fillId="11" borderId="8" xfId="28" applyNumberFormat="1" applyFont="1" applyFill="1" applyBorder="1" applyAlignment="1">
      <alignment horizontal="center"/>
    </xf>
    <xf numFmtId="177" fontId="14" fillId="11" borderId="10" xfId="28" applyNumberFormat="1" applyFont="1" applyFill="1" applyBorder="1" applyAlignment="1">
      <alignment horizontal="center" vertical="center"/>
    </xf>
    <xf numFmtId="177" fontId="14" fillId="11" borderId="11" xfId="28" applyNumberFormat="1" applyFont="1" applyFill="1" applyBorder="1" applyAlignment="1">
      <alignment horizontal="center" vertical="center"/>
    </xf>
    <xf numFmtId="0" fontId="14" fillId="10" borderId="12" xfId="28" applyFont="1" applyFill="1" applyBorder="1">
      <alignment vertical="center"/>
    </xf>
    <xf numFmtId="38" fontId="11" fillId="10" borderId="0" xfId="27" applyNumberFormat="1" applyFont="1" applyFill="1" applyAlignment="1">
      <alignment horizontal="center" vertical="center"/>
    </xf>
    <xf numFmtId="0" fontId="14" fillId="10" borderId="13" xfId="28" applyFont="1" applyFill="1" applyBorder="1">
      <alignment vertical="center"/>
    </xf>
    <xf numFmtId="0" fontId="14" fillId="9" borderId="6" xfId="28" applyFont="1" applyFill="1" applyBorder="1" applyAlignment="1">
      <alignment horizontal="left" vertical="center"/>
    </xf>
    <xf numFmtId="38" fontId="14" fillId="9" borderId="7" xfId="29" applyNumberFormat="1" applyFont="1" applyFill="1" applyBorder="1" applyAlignment="1">
      <alignment horizontal="center" vertical="center"/>
    </xf>
    <xf numFmtId="38" fontId="14" fillId="9" borderId="10" xfId="29" applyNumberFormat="1" applyFont="1" applyFill="1" applyBorder="1" applyAlignment="1">
      <alignment horizontal="center" vertical="center"/>
    </xf>
    <xf numFmtId="38" fontId="14" fillId="9" borderId="11" xfId="29" applyNumberFormat="1" applyFont="1" applyFill="1" applyBorder="1" applyAlignment="1">
      <alignment horizontal="center" vertical="center"/>
    </xf>
    <xf numFmtId="178" fontId="14" fillId="9" borderId="9" xfId="29" applyNumberFormat="1" applyFont="1" applyFill="1" applyBorder="1" applyAlignment="1">
      <alignment horizontal="center" vertical="center"/>
    </xf>
    <xf numFmtId="178" fontId="14" fillId="9" borderId="11" xfId="29" applyNumberFormat="1" applyFont="1" applyFill="1" applyBorder="1" applyAlignment="1">
      <alignment horizontal="center" vertical="center"/>
    </xf>
    <xf numFmtId="178" fontId="14" fillId="9" borderId="9" xfId="28" applyNumberFormat="1" applyFont="1" applyFill="1" applyBorder="1" applyAlignment="1">
      <alignment horizontal="center" vertical="center"/>
    </xf>
    <xf numFmtId="38" fontId="14" fillId="9" borderId="10" xfId="28" applyNumberFormat="1" applyFont="1" applyFill="1" applyBorder="1" applyAlignment="1">
      <alignment horizontal="center" vertical="center"/>
    </xf>
    <xf numFmtId="0" fontId="15" fillId="10" borderId="0" xfId="28" applyFont="1" applyFill="1" applyAlignment="1">
      <alignment horizontal="center" vertical="center"/>
    </xf>
    <xf numFmtId="0" fontId="14" fillId="10" borderId="0" xfId="28" applyFont="1" applyFill="1" applyAlignment="1">
      <alignment horizontal="right" vertical="center"/>
    </xf>
    <xf numFmtId="0" fontId="15" fillId="10" borderId="0" xfId="28" applyFont="1" applyFill="1" applyAlignment="1">
      <alignment horizontal="right" vertical="center"/>
    </xf>
    <xf numFmtId="38" fontId="16" fillId="10" borderId="0" xfId="28" applyNumberFormat="1" applyFont="1" applyFill="1" applyAlignment="1">
      <alignment horizontal="center" vertical="center"/>
    </xf>
    <xf numFmtId="179" fontId="16" fillId="10" borderId="0" xfId="28" applyNumberFormat="1" applyFont="1" applyFill="1" applyAlignment="1">
      <alignment horizontal="center" vertical="center"/>
    </xf>
    <xf numFmtId="38" fontId="17" fillId="10" borderId="0" xfId="27" applyNumberFormat="1" applyFont="1" applyFill="1" applyAlignment="1">
      <alignment horizontal="center" vertical="center"/>
    </xf>
    <xf numFmtId="0" fontId="12" fillId="10" borderId="0" xfId="28" applyFont="1" applyFill="1">
      <alignment vertical="center"/>
    </xf>
    <xf numFmtId="0" fontId="14" fillId="11" borderId="16" xfId="28" applyFont="1" applyFill="1" applyBorder="1" applyAlignment="1">
      <alignment vertical="center" wrapText="1"/>
    </xf>
    <xf numFmtId="0" fontId="11" fillId="11" borderId="5" xfId="27" applyFont="1" applyFill="1" applyBorder="1">
      <alignment vertical="center"/>
    </xf>
    <xf numFmtId="0" fontId="14" fillId="11" borderId="21" xfId="28" applyFont="1" applyFill="1" applyBorder="1" applyAlignment="1">
      <alignment vertical="center" wrapText="1"/>
    </xf>
    <xf numFmtId="0" fontId="14" fillId="11" borderId="10" xfId="28" applyFont="1" applyFill="1" applyBorder="1" applyAlignment="1">
      <alignment horizontal="center" vertical="center"/>
    </xf>
    <xf numFmtId="0" fontId="14" fillId="11" borderId="11" xfId="28" applyFont="1" applyFill="1" applyBorder="1" applyAlignment="1">
      <alignment horizontal="center" vertical="center"/>
    </xf>
    <xf numFmtId="0" fontId="12" fillId="10" borderId="19" xfId="28" applyFont="1" applyFill="1" applyBorder="1" applyAlignment="1">
      <alignment horizontal="center" vertical="center"/>
    </xf>
    <xf numFmtId="0" fontId="12" fillId="10" borderId="14" xfId="28" applyFont="1" applyFill="1" applyBorder="1" applyAlignment="1">
      <alignment horizontal="center" vertical="center"/>
    </xf>
    <xf numFmtId="0" fontId="12" fillId="10" borderId="15" xfId="28" applyFont="1" applyFill="1" applyBorder="1" applyAlignment="1">
      <alignment horizontal="center" vertical="center"/>
    </xf>
    <xf numFmtId="0" fontId="19" fillId="12" borderId="5" xfId="27" applyFont="1" applyFill="1" applyBorder="1" applyAlignment="1">
      <alignment horizontal="left" vertical="center"/>
    </xf>
    <xf numFmtId="0" fontId="14" fillId="12" borderId="7" xfId="28" applyFont="1" applyFill="1" applyBorder="1" applyAlignment="1">
      <alignment horizontal="center" vertical="center"/>
    </xf>
    <xf numFmtId="0" fontId="14" fillId="12" borderId="10" xfId="28" applyFont="1" applyFill="1" applyBorder="1" applyAlignment="1">
      <alignment horizontal="center" vertical="center"/>
    </xf>
    <xf numFmtId="0" fontId="14" fillId="12" borderId="11" xfId="28" applyFont="1" applyFill="1" applyBorder="1" applyAlignment="1">
      <alignment horizontal="center" vertical="center"/>
    </xf>
    <xf numFmtId="179" fontId="14" fillId="12" borderId="9" xfId="28" applyNumberFormat="1" applyFont="1" applyFill="1" applyBorder="1" applyAlignment="1">
      <alignment horizontal="center" vertical="center"/>
    </xf>
    <xf numFmtId="0" fontId="19" fillId="10" borderId="0" xfId="27" applyFont="1" applyFill="1" applyAlignment="1">
      <alignment horizontal="center" vertical="center"/>
    </xf>
    <xf numFmtId="0" fontId="19" fillId="10" borderId="0" xfId="27" applyFont="1" applyFill="1">
      <alignment vertical="center"/>
    </xf>
    <xf numFmtId="178" fontId="14" fillId="12" borderId="11" xfId="28" applyNumberFormat="1" applyFont="1" applyFill="1" applyBorder="1" applyAlignment="1">
      <alignment horizontal="center" vertical="center"/>
    </xf>
    <xf numFmtId="0" fontId="14" fillId="12" borderId="5" xfId="28" applyFont="1" applyFill="1" applyBorder="1" applyAlignment="1">
      <alignment horizontal="center" vertical="center"/>
    </xf>
    <xf numFmtId="0" fontId="11" fillId="10" borderId="0" xfId="27" applyFont="1" applyFill="1" applyAlignment="1">
      <alignment horizontal="center" vertical="center"/>
    </xf>
    <xf numFmtId="0" fontId="20" fillId="10" borderId="0" xfId="28" applyFont="1" applyFill="1" applyAlignment="1">
      <alignment horizontal="left" vertical="center"/>
    </xf>
    <xf numFmtId="0" fontId="11" fillId="14" borderId="0" xfId="27" applyFont="1" applyFill="1" applyAlignment="1">
      <alignment horizontal="center" vertical="center"/>
    </xf>
    <xf numFmtId="38" fontId="14" fillId="9" borderId="8" xfId="29" applyNumberFormat="1" applyFont="1" applyFill="1" applyBorder="1" applyAlignment="1">
      <alignment horizontal="center" vertical="center"/>
    </xf>
    <xf numFmtId="38" fontId="14" fillId="9" borderId="8" xfId="28" applyNumberFormat="1" applyFont="1" applyFill="1" applyBorder="1" applyAlignment="1">
      <alignment horizontal="center" vertical="center"/>
    </xf>
    <xf numFmtId="0" fontId="12" fillId="10" borderId="26" xfId="28" applyFont="1" applyFill="1" applyBorder="1" applyAlignment="1">
      <alignment horizontal="center" vertical="center"/>
    </xf>
    <xf numFmtId="0" fontId="12" fillId="10" borderId="27" xfId="28" applyFont="1" applyFill="1" applyBorder="1" applyAlignment="1">
      <alignment horizontal="center" vertical="center"/>
    </xf>
    <xf numFmtId="177" fontId="14" fillId="11" borderId="8" xfId="28" applyNumberFormat="1" applyFont="1" applyFill="1" applyBorder="1" applyAlignment="1">
      <alignment horizontal="center" vertical="center"/>
    </xf>
    <xf numFmtId="178" fontId="14" fillId="9" borderId="3" xfId="29" applyNumberFormat="1" applyFont="1" applyFill="1" applyBorder="1" applyAlignment="1">
      <alignment horizontal="center" vertical="center"/>
    </xf>
    <xf numFmtId="176" fontId="14" fillId="11" borderId="23" xfId="28" applyNumberFormat="1" applyFont="1" applyFill="1" applyBorder="1" applyAlignment="1">
      <alignment horizontal="center" vertical="center"/>
    </xf>
    <xf numFmtId="177" fontId="14" fillId="11" borderId="7" xfId="28" applyNumberFormat="1" applyFont="1" applyFill="1" applyBorder="1" applyAlignment="1">
      <alignment horizontal="center" vertical="center"/>
    </xf>
    <xf numFmtId="179" fontId="14" fillId="12" borderId="7" xfId="28" applyNumberFormat="1" applyFont="1" applyFill="1" applyBorder="1" applyAlignment="1">
      <alignment horizontal="center" vertical="center"/>
    </xf>
    <xf numFmtId="179" fontId="14" fillId="12" borderId="4" xfId="28" applyNumberFormat="1" applyFont="1" applyFill="1" applyBorder="1" applyAlignment="1">
      <alignment horizontal="center" vertical="center"/>
    </xf>
    <xf numFmtId="0" fontId="11" fillId="11" borderId="2" xfId="27" applyFont="1" applyFill="1" applyBorder="1">
      <alignment vertical="center"/>
    </xf>
    <xf numFmtId="0" fontId="11" fillId="10" borderId="13" xfId="27" applyFont="1" applyFill="1" applyBorder="1" applyAlignment="1">
      <alignment horizontal="left" vertical="center"/>
    </xf>
    <xf numFmtId="0" fontId="19" fillId="12" borderId="2" xfId="27" applyFont="1" applyFill="1" applyBorder="1" applyAlignment="1">
      <alignment horizontal="left" vertical="center"/>
    </xf>
    <xf numFmtId="0" fontId="11" fillId="10" borderId="0" xfId="27" applyFont="1" applyFill="1" applyAlignment="1">
      <alignment horizontal="left" vertical="center"/>
    </xf>
    <xf numFmtId="38" fontId="11" fillId="10" borderId="0" xfId="27" applyNumberFormat="1" applyFont="1" applyFill="1" applyAlignment="1">
      <alignment horizontal="left" vertical="center"/>
    </xf>
    <xf numFmtId="38" fontId="17" fillId="10" borderId="0" xfId="27" applyNumberFormat="1" applyFont="1" applyFill="1" applyAlignment="1">
      <alignment horizontal="left" vertical="center"/>
    </xf>
    <xf numFmtId="0" fontId="11" fillId="11" borderId="28" xfId="27" applyFont="1" applyFill="1" applyBorder="1">
      <alignment vertical="center"/>
    </xf>
    <xf numFmtId="38" fontId="14" fillId="9" borderId="7" xfId="28" applyNumberFormat="1" applyFont="1" applyFill="1" applyBorder="1" applyAlignment="1">
      <alignment horizontal="center" vertical="center"/>
    </xf>
    <xf numFmtId="0" fontId="11" fillId="10" borderId="29" xfId="27" applyFont="1" applyFill="1" applyBorder="1" applyAlignment="1">
      <alignment horizontal="center" vertical="center"/>
    </xf>
    <xf numFmtId="0" fontId="14" fillId="10" borderId="28" xfId="28" applyFont="1" applyFill="1" applyBorder="1" applyAlignment="1">
      <alignment horizontal="left" vertical="center"/>
    </xf>
    <xf numFmtId="0" fontId="14" fillId="10" borderId="22" xfId="28" applyFont="1" applyFill="1" applyBorder="1" applyAlignment="1">
      <alignment horizontal="left" vertical="center"/>
    </xf>
    <xf numFmtId="0" fontId="19" fillId="10" borderId="22" xfId="27" applyFont="1" applyFill="1" applyBorder="1" applyAlignment="1">
      <alignment horizontal="center" vertical="center"/>
    </xf>
    <xf numFmtId="0" fontId="19" fillId="10" borderId="30" xfId="27" applyFont="1" applyFill="1" applyBorder="1" applyAlignment="1">
      <alignment horizontal="center" vertical="center"/>
    </xf>
    <xf numFmtId="181" fontId="11" fillId="10" borderId="0" xfId="27" applyNumberFormat="1" applyFont="1" applyFill="1" applyAlignment="1">
      <alignment horizontal="center" vertical="center"/>
    </xf>
    <xf numFmtId="0" fontId="11" fillId="10" borderId="0" xfId="27" quotePrefix="1" applyFont="1" applyFill="1">
      <alignment vertical="center"/>
    </xf>
    <xf numFmtId="182" fontId="11" fillId="10" borderId="0" xfId="27" applyNumberFormat="1" applyFont="1" applyFill="1" applyAlignment="1">
      <alignment horizontal="center" vertical="center"/>
    </xf>
    <xf numFmtId="182" fontId="11" fillId="10" borderId="0" xfId="27" applyNumberFormat="1" applyFont="1" applyFill="1">
      <alignment vertical="center"/>
    </xf>
    <xf numFmtId="178" fontId="14" fillId="9" borderId="5" xfId="28" applyNumberFormat="1" applyFont="1" applyFill="1" applyBorder="1" applyAlignment="1">
      <alignment horizontal="center" vertical="center"/>
    </xf>
    <xf numFmtId="0" fontId="12" fillId="10" borderId="25" xfId="28" applyFont="1" applyFill="1" applyBorder="1" applyAlignment="1">
      <alignment horizontal="center" vertical="center"/>
    </xf>
    <xf numFmtId="0" fontId="19" fillId="12" borderId="5" xfId="27" applyFont="1" applyFill="1" applyBorder="1" applyAlignment="1">
      <alignment horizontal="center" vertical="center"/>
    </xf>
    <xf numFmtId="178" fontId="14" fillId="9" borderId="5" xfId="29" applyNumberFormat="1" applyFont="1" applyFill="1" applyBorder="1" applyAlignment="1">
      <alignment horizontal="center" vertical="center"/>
    </xf>
    <xf numFmtId="181" fontId="12" fillId="10" borderId="12" xfId="31" applyNumberFormat="1" applyFont="1" applyFill="1" applyBorder="1" applyAlignment="1">
      <alignment horizontal="center" vertical="center"/>
    </xf>
    <xf numFmtId="0" fontId="11" fillId="10" borderId="12" xfId="27" applyFont="1" applyFill="1" applyBorder="1" applyAlignment="1">
      <alignment horizontal="center" vertical="center"/>
    </xf>
    <xf numFmtId="177" fontId="14" fillId="11" borderId="5" xfId="28" applyNumberFormat="1" applyFont="1" applyFill="1" applyBorder="1" applyAlignment="1">
      <alignment horizontal="center" vertical="center"/>
    </xf>
    <xf numFmtId="0" fontId="18" fillId="11" borderId="5" xfId="27" applyFont="1" applyFill="1" applyBorder="1" applyAlignment="1">
      <alignment horizontal="right" vertical="center"/>
    </xf>
    <xf numFmtId="0" fontId="14" fillId="21" borderId="7" xfId="28" applyFont="1" applyFill="1" applyBorder="1" applyAlignment="1">
      <alignment horizontal="center" vertical="center"/>
    </xf>
    <xf numFmtId="0" fontId="14" fillId="21" borderId="10" xfId="28" applyFont="1" applyFill="1" applyBorder="1" applyAlignment="1">
      <alignment horizontal="center" vertical="center"/>
    </xf>
    <xf numFmtId="0" fontId="14" fillId="21" borderId="8" xfId="28" applyFont="1" applyFill="1" applyBorder="1" applyAlignment="1">
      <alignment horizontal="center" vertical="center"/>
    </xf>
    <xf numFmtId="178" fontId="14" fillId="21" borderId="10" xfId="28" applyNumberFormat="1" applyFont="1" applyFill="1" applyBorder="1" applyAlignment="1">
      <alignment horizontal="center" vertical="center"/>
    </xf>
    <xf numFmtId="178" fontId="14" fillId="21" borderId="8" xfId="28" applyNumberFormat="1" applyFont="1" applyFill="1" applyBorder="1" applyAlignment="1">
      <alignment horizontal="center" vertical="center"/>
    </xf>
    <xf numFmtId="178" fontId="14" fillId="21" borderId="11" xfId="28" applyNumberFormat="1" applyFont="1" applyFill="1" applyBorder="1" applyAlignment="1">
      <alignment horizontal="center" vertical="center"/>
    </xf>
    <xf numFmtId="0" fontId="14" fillId="10" borderId="12" xfId="28" applyFont="1" applyFill="1" applyBorder="1" applyAlignment="1">
      <alignment horizontal="left" vertical="center"/>
    </xf>
    <xf numFmtId="0" fontId="18" fillId="10" borderId="0" xfId="27" applyFont="1" applyFill="1" applyAlignment="1">
      <alignment horizontal="left" vertical="center"/>
    </xf>
    <xf numFmtId="0" fontId="12" fillId="14" borderId="0" xfId="27" applyFont="1" applyFill="1" applyAlignment="1">
      <alignment horizontal="center" vertical="center"/>
    </xf>
    <xf numFmtId="0" fontId="12" fillId="10" borderId="0" xfId="27" applyFont="1" applyFill="1" applyAlignment="1">
      <alignment horizontal="left" vertical="center"/>
    </xf>
    <xf numFmtId="0" fontId="12" fillId="10" borderId="0" xfId="27" applyFont="1" applyFill="1" applyAlignment="1">
      <alignment horizontal="center" vertical="center"/>
    </xf>
    <xf numFmtId="178" fontId="14" fillId="21" borderId="7" xfId="28" applyNumberFormat="1" applyFont="1" applyFill="1" applyBorder="1" applyAlignment="1">
      <alignment horizontal="center" vertical="center"/>
    </xf>
    <xf numFmtId="0" fontId="17" fillId="10" borderId="0" xfId="27" applyFont="1" applyFill="1" applyAlignment="1">
      <alignment horizontal="left" vertical="center"/>
    </xf>
    <xf numFmtId="0" fontId="17" fillId="10" borderId="0" xfId="27" applyFont="1" applyFill="1" applyAlignment="1">
      <alignment horizontal="center" vertical="center"/>
    </xf>
    <xf numFmtId="0" fontId="18" fillId="10" borderId="0" xfId="28" applyFont="1" applyFill="1" applyAlignment="1">
      <alignment horizontal="left" vertical="center"/>
    </xf>
    <xf numFmtId="177" fontId="12" fillId="10" borderId="0" xfId="28" applyNumberFormat="1" applyFont="1" applyFill="1" applyAlignment="1">
      <alignment horizontal="left" vertical="center"/>
    </xf>
    <xf numFmtId="177" fontId="12" fillId="10" borderId="0" xfId="28" applyNumberFormat="1" applyFont="1" applyFill="1">
      <alignment vertical="center"/>
    </xf>
    <xf numFmtId="183" fontId="11" fillId="10" borderId="0" xfId="32" applyNumberFormat="1" applyFont="1" applyFill="1" applyAlignment="1">
      <alignment horizontal="center" vertical="center"/>
    </xf>
    <xf numFmtId="177" fontId="11" fillId="10" borderId="0" xfId="32" applyNumberFormat="1" applyFont="1" applyFill="1" applyAlignment="1">
      <alignment horizontal="center" vertical="center"/>
    </xf>
    <xf numFmtId="43" fontId="11" fillId="10" borderId="0" xfId="32" applyNumberFormat="1" applyFont="1" applyFill="1" applyAlignment="1">
      <alignment horizontal="center" vertical="center"/>
    </xf>
    <xf numFmtId="0" fontId="17" fillId="10" borderId="0" xfId="27" quotePrefix="1" applyFont="1" applyFill="1" applyAlignment="1">
      <alignment horizontal="left" vertical="center"/>
    </xf>
    <xf numFmtId="0" fontId="14" fillId="10" borderId="12" xfId="28" applyFont="1" applyFill="1" applyBorder="1" applyAlignment="1">
      <alignment horizontal="center" vertical="center"/>
    </xf>
    <xf numFmtId="0" fontId="14" fillId="9" borderId="3" xfId="28" applyFont="1" applyFill="1" applyBorder="1" applyAlignment="1">
      <alignment horizontal="center" vertical="center"/>
    </xf>
    <xf numFmtId="177" fontId="12" fillId="10" borderId="0" xfId="28" applyNumberFormat="1" applyFont="1" applyFill="1" applyAlignment="1">
      <alignment horizontal="center" vertical="center"/>
    </xf>
    <xf numFmtId="0" fontId="14" fillId="12" borderId="3" xfId="28" applyFont="1" applyFill="1" applyBorder="1" applyAlignment="1">
      <alignment horizontal="center" vertical="center"/>
    </xf>
    <xf numFmtId="0" fontId="14" fillId="11" borderId="17" xfId="28" applyFont="1" applyFill="1" applyBorder="1" applyAlignment="1">
      <alignment horizontal="center" vertical="center"/>
    </xf>
    <xf numFmtId="0" fontId="14" fillId="11" borderId="22" xfId="28" applyFont="1" applyFill="1" applyBorder="1" applyAlignment="1">
      <alignment horizontal="center" vertical="center"/>
    </xf>
    <xf numFmtId="0" fontId="12" fillId="10" borderId="36" xfId="28" applyFont="1" applyFill="1" applyBorder="1">
      <alignment vertical="center"/>
    </xf>
    <xf numFmtId="180" fontId="12" fillId="10" borderId="36" xfId="31" applyNumberFormat="1" applyFont="1" applyFill="1" applyBorder="1" applyAlignment="1">
      <alignment horizontal="center"/>
    </xf>
    <xf numFmtId="180" fontId="12" fillId="10" borderId="37" xfId="31" applyNumberFormat="1" applyFont="1" applyFill="1" applyBorder="1" applyAlignment="1">
      <alignment horizontal="center"/>
    </xf>
    <xf numFmtId="178" fontId="12" fillId="10" borderId="29" xfId="28" applyNumberFormat="1" applyFont="1" applyFill="1" applyBorder="1" applyAlignment="1">
      <alignment horizontal="center" vertical="center"/>
    </xf>
    <xf numFmtId="0" fontId="11" fillId="0" borderId="0" xfId="27" applyFont="1">
      <alignment vertical="center"/>
    </xf>
    <xf numFmtId="0" fontId="12" fillId="10" borderId="18" xfId="28" applyFont="1" applyFill="1" applyBorder="1">
      <alignment vertical="center"/>
    </xf>
    <xf numFmtId="0" fontId="12" fillId="10" borderId="20" xfId="28" applyFont="1" applyFill="1" applyBorder="1">
      <alignment vertical="center"/>
    </xf>
    <xf numFmtId="181" fontId="12" fillId="10" borderId="25" xfId="31" applyNumberFormat="1" applyFont="1" applyFill="1" applyBorder="1" applyAlignment="1">
      <alignment horizontal="center" vertical="center"/>
    </xf>
    <xf numFmtId="180" fontId="12" fillId="10" borderId="18" xfId="31" applyNumberFormat="1" applyFont="1" applyFill="1" applyBorder="1" applyAlignment="1">
      <alignment horizontal="center"/>
    </xf>
    <xf numFmtId="180" fontId="12" fillId="10" borderId="19" xfId="31" applyNumberFormat="1" applyFont="1" applyFill="1" applyBorder="1" applyAlignment="1">
      <alignment horizontal="center"/>
    </xf>
    <xf numFmtId="181" fontId="12" fillId="10" borderId="26" xfId="31" applyNumberFormat="1" applyFont="1" applyFill="1" applyBorder="1" applyAlignment="1">
      <alignment horizontal="center" vertical="center"/>
    </xf>
    <xf numFmtId="0" fontId="14" fillId="9" borderId="3" xfId="28" applyFont="1" applyFill="1" applyBorder="1" applyAlignment="1">
      <alignment horizontal="left" vertical="center"/>
    </xf>
    <xf numFmtId="0" fontId="11" fillId="10" borderId="3" xfId="27" applyFont="1" applyFill="1" applyBorder="1">
      <alignment vertical="center"/>
    </xf>
    <xf numFmtId="9" fontId="14" fillId="12" borderId="7" xfId="32" applyFont="1" applyFill="1" applyBorder="1" applyAlignment="1">
      <alignment horizontal="center" vertical="center"/>
    </xf>
    <xf numFmtId="9" fontId="14" fillId="12" borderId="9" xfId="32" applyFont="1" applyFill="1" applyBorder="1" applyAlignment="1">
      <alignment horizontal="center" vertical="center"/>
    </xf>
    <xf numFmtId="180" fontId="14" fillId="12" borderId="7" xfId="28" applyNumberFormat="1" applyFont="1" applyFill="1" applyBorder="1" applyAlignment="1">
      <alignment horizontal="center" vertical="center"/>
    </xf>
    <xf numFmtId="0" fontId="14" fillId="10" borderId="44" xfId="28" applyFont="1" applyFill="1" applyBorder="1" applyAlignment="1">
      <alignment horizontal="left" vertical="center"/>
    </xf>
    <xf numFmtId="9" fontId="14" fillId="12" borderId="4" xfId="32" applyFont="1" applyFill="1" applyBorder="1" applyAlignment="1">
      <alignment horizontal="center" vertical="center"/>
    </xf>
    <xf numFmtId="0" fontId="14" fillId="21" borderId="3" xfId="28" applyFont="1" applyFill="1" applyBorder="1" applyAlignment="1">
      <alignment horizontal="center" vertical="center"/>
    </xf>
    <xf numFmtId="178" fontId="12" fillId="10" borderId="26" xfId="28" applyNumberFormat="1" applyFont="1" applyFill="1" applyBorder="1" applyAlignment="1">
      <alignment horizontal="center" vertical="center"/>
    </xf>
    <xf numFmtId="0" fontId="12" fillId="10" borderId="17" xfId="27" applyFont="1" applyFill="1" applyBorder="1" applyAlignment="1">
      <alignment horizontal="left" vertical="center"/>
    </xf>
    <xf numFmtId="177" fontId="14" fillId="8" borderId="7" xfId="28" applyNumberFormat="1" applyFont="1" applyFill="1" applyBorder="1" applyAlignment="1">
      <alignment horizontal="center" vertical="center"/>
    </xf>
    <xf numFmtId="178" fontId="12" fillId="10" borderId="45" xfId="28" applyNumberFormat="1" applyFont="1" applyFill="1" applyBorder="1" applyAlignment="1">
      <alignment horizontal="center" vertical="center"/>
    </xf>
    <xf numFmtId="178" fontId="12" fillId="10" borderId="38" xfId="28" applyNumberFormat="1" applyFont="1" applyFill="1" applyBorder="1" applyAlignment="1">
      <alignment horizontal="center" vertical="center"/>
    </xf>
    <xf numFmtId="178" fontId="14" fillId="12" borderId="2" xfId="28" applyNumberFormat="1" applyFont="1" applyFill="1" applyBorder="1" applyAlignment="1">
      <alignment horizontal="center" vertical="center"/>
    </xf>
    <xf numFmtId="178" fontId="14" fillId="21" borderId="2" xfId="28" applyNumberFormat="1" applyFont="1" applyFill="1" applyBorder="1" applyAlignment="1">
      <alignment horizontal="center" vertical="center"/>
    </xf>
    <xf numFmtId="0" fontId="11" fillId="8" borderId="34" xfId="27" applyFont="1" applyFill="1" applyBorder="1">
      <alignment vertical="center"/>
    </xf>
    <xf numFmtId="0" fontId="11" fillId="8" borderId="42" xfId="27" applyFont="1" applyFill="1" applyBorder="1">
      <alignment vertical="center"/>
    </xf>
    <xf numFmtId="0" fontId="11" fillId="10" borderId="13" xfId="27" applyFont="1" applyFill="1" applyBorder="1">
      <alignment vertical="center"/>
    </xf>
    <xf numFmtId="0" fontId="11" fillId="10" borderId="29" xfId="27" applyFont="1" applyFill="1" applyBorder="1">
      <alignment vertical="center"/>
    </xf>
    <xf numFmtId="0" fontId="11" fillId="10" borderId="13" xfId="27" applyFont="1" applyFill="1" applyBorder="1" applyAlignment="1">
      <alignment horizontal="center" vertical="center"/>
    </xf>
    <xf numFmtId="0" fontId="11" fillId="10" borderId="28" xfId="27" applyFont="1" applyFill="1" applyBorder="1">
      <alignment vertical="center"/>
    </xf>
    <xf numFmtId="0" fontId="11" fillId="10" borderId="30" xfId="27" applyFont="1" applyFill="1" applyBorder="1">
      <alignment vertical="center"/>
    </xf>
    <xf numFmtId="9" fontId="14" fillId="12" borderId="34" xfId="32" applyFont="1" applyFill="1" applyBorder="1" applyAlignment="1">
      <alignment horizontal="center" vertical="center"/>
    </xf>
    <xf numFmtId="9" fontId="14" fillId="12" borderId="42" xfId="32" applyFont="1" applyFill="1" applyBorder="1" applyAlignment="1">
      <alignment horizontal="center" vertical="center"/>
    </xf>
    <xf numFmtId="9" fontId="11" fillId="10" borderId="13" xfId="32" applyFont="1" applyFill="1" applyBorder="1">
      <alignment vertical="center"/>
    </xf>
    <xf numFmtId="9" fontId="11" fillId="10" borderId="29" xfId="32" applyFont="1" applyFill="1" applyBorder="1">
      <alignment vertical="center"/>
    </xf>
    <xf numFmtId="178" fontId="12" fillId="10" borderId="19" xfId="28" applyNumberFormat="1" applyFont="1" applyFill="1" applyBorder="1" applyAlignment="1">
      <alignment horizontal="center" vertical="center"/>
    </xf>
    <xf numFmtId="0" fontId="14" fillId="10" borderId="39" xfId="28" applyFont="1" applyFill="1" applyBorder="1" applyAlignment="1">
      <alignment horizontal="left" vertical="center"/>
    </xf>
    <xf numFmtId="179" fontId="14" fillId="12" borderId="5" xfId="28" applyNumberFormat="1" applyFont="1" applyFill="1" applyBorder="1" applyAlignment="1">
      <alignment horizontal="center" vertical="center"/>
    </xf>
    <xf numFmtId="179" fontId="14" fillId="12" borderId="16" xfId="28" applyNumberFormat="1" applyFont="1" applyFill="1" applyBorder="1" applyAlignment="1">
      <alignment horizontal="center" vertical="center"/>
    </xf>
    <xf numFmtId="0" fontId="14" fillId="0" borderId="44" xfId="28" applyFont="1" applyBorder="1" applyAlignment="1">
      <alignment horizontal="left" vertical="center"/>
    </xf>
    <xf numFmtId="181" fontId="12" fillId="10" borderId="0" xfId="31" applyNumberFormat="1" applyFont="1" applyFill="1" applyAlignment="1">
      <alignment horizontal="center" vertical="center"/>
    </xf>
    <xf numFmtId="179" fontId="14" fillId="12" borderId="2" xfId="28" applyNumberFormat="1" applyFont="1" applyFill="1" applyBorder="1">
      <alignment vertical="center"/>
    </xf>
    <xf numFmtId="179" fontId="14" fillId="12" borderId="3" xfId="28" applyNumberFormat="1" applyFont="1" applyFill="1" applyBorder="1">
      <alignment vertical="center"/>
    </xf>
    <xf numFmtId="179" fontId="14" fillId="12" borderId="9" xfId="28" applyNumberFormat="1" applyFont="1" applyFill="1" applyBorder="1">
      <alignment vertical="center"/>
    </xf>
    <xf numFmtId="177" fontId="14" fillId="11" borderId="3" xfId="28" applyNumberFormat="1" applyFont="1" applyFill="1" applyBorder="1">
      <alignment vertical="center"/>
    </xf>
    <xf numFmtId="178" fontId="14" fillId="9" borderId="3" xfId="28" applyNumberFormat="1" applyFont="1" applyFill="1" applyBorder="1" applyAlignment="1">
      <alignment horizontal="center" vertical="center"/>
    </xf>
    <xf numFmtId="180" fontId="12" fillId="10" borderId="0" xfId="31" applyNumberFormat="1" applyFont="1" applyFill="1" applyAlignment="1">
      <alignment horizontal="center" vertical="center"/>
    </xf>
    <xf numFmtId="177" fontId="14" fillId="11" borderId="9" xfId="28" applyNumberFormat="1" applyFont="1" applyFill="1" applyBorder="1" applyAlignment="1">
      <alignment horizontal="center" vertical="center"/>
    </xf>
    <xf numFmtId="180" fontId="12" fillId="10" borderId="40" xfId="31" applyNumberFormat="1" applyFont="1" applyFill="1" applyBorder="1" applyAlignment="1">
      <alignment horizontal="center" vertical="center"/>
    </xf>
    <xf numFmtId="0" fontId="14" fillId="10" borderId="0" xfId="28" applyFont="1" applyFill="1" applyAlignment="1"/>
    <xf numFmtId="177" fontId="14" fillId="10" borderId="0" xfId="28" applyNumberFormat="1" applyFont="1" applyFill="1" applyAlignment="1">
      <alignment horizontal="center" vertical="center"/>
    </xf>
    <xf numFmtId="38" fontId="14" fillId="10" borderId="0" xfId="29" applyNumberFormat="1" applyFont="1" applyFill="1" applyAlignment="1">
      <alignment horizontal="center" vertical="center"/>
    </xf>
    <xf numFmtId="180" fontId="12" fillId="10" borderId="0" xfId="31" applyNumberFormat="1" applyFont="1" applyFill="1" applyAlignment="1">
      <alignment horizontal="center"/>
    </xf>
    <xf numFmtId="38" fontId="14" fillId="10" borderId="0" xfId="28" applyNumberFormat="1" applyFont="1" applyFill="1" applyAlignment="1">
      <alignment horizontal="center" vertical="center"/>
    </xf>
    <xf numFmtId="178" fontId="14" fillId="10" borderId="0" xfId="29" applyNumberFormat="1" applyFont="1" applyFill="1" applyAlignment="1">
      <alignment horizontal="center" vertical="center"/>
    </xf>
    <xf numFmtId="178" fontId="14" fillId="10" borderId="0" xfId="28" applyNumberFormat="1" applyFont="1" applyFill="1" applyAlignment="1">
      <alignment horizontal="center" vertical="center"/>
    </xf>
    <xf numFmtId="9" fontId="4" fillId="10" borderId="0" xfId="32" applyFont="1" applyFill="1" applyAlignment="1"/>
    <xf numFmtId="0" fontId="12" fillId="10" borderId="37" xfId="28" applyFont="1" applyFill="1" applyBorder="1" applyAlignment="1">
      <alignment horizontal="center" vertical="center"/>
    </xf>
    <xf numFmtId="0" fontId="12" fillId="10" borderId="40" xfId="28" applyFont="1" applyFill="1" applyBorder="1" applyAlignment="1">
      <alignment horizontal="center" vertical="center"/>
    </xf>
    <xf numFmtId="0" fontId="11" fillId="0" borderId="18" xfId="28" applyFont="1" applyBorder="1" applyAlignment="1">
      <alignment horizontal="center" vertical="center"/>
    </xf>
    <xf numFmtId="0" fontId="11" fillId="10" borderId="46" xfId="27" applyFont="1" applyFill="1" applyBorder="1" applyAlignment="1">
      <alignment horizontal="left" vertical="center"/>
    </xf>
    <xf numFmtId="0" fontId="11" fillId="10" borderId="38" xfId="27" applyFont="1" applyFill="1" applyBorder="1" applyAlignment="1">
      <alignment horizontal="left" vertical="center"/>
    </xf>
    <xf numFmtId="9" fontId="11" fillId="10" borderId="49" xfId="27" applyNumberFormat="1" applyFont="1" applyFill="1" applyBorder="1" applyAlignment="1">
      <alignment horizontal="center" vertical="center"/>
    </xf>
    <xf numFmtId="0" fontId="12" fillId="10" borderId="41" xfId="28" applyFont="1" applyFill="1" applyBorder="1">
      <alignment vertical="center"/>
    </xf>
    <xf numFmtId="0" fontId="12" fillId="10" borderId="44" xfId="28" applyFont="1" applyFill="1" applyBorder="1" applyAlignment="1">
      <alignment horizontal="center" vertical="center"/>
    </xf>
    <xf numFmtId="176" fontId="14" fillId="11" borderId="3" xfId="28" applyNumberFormat="1" applyFont="1" applyFill="1" applyBorder="1" applyAlignment="1">
      <alignment horizontal="center"/>
    </xf>
    <xf numFmtId="178" fontId="14" fillId="9" borderId="7" xfId="29" applyNumberFormat="1" applyFont="1" applyFill="1" applyBorder="1" applyAlignment="1">
      <alignment horizontal="center" vertical="center"/>
    </xf>
    <xf numFmtId="0" fontId="11" fillId="10" borderId="51" xfId="27" applyFont="1" applyFill="1" applyBorder="1" applyAlignment="1">
      <alignment horizontal="left" vertical="center"/>
    </xf>
    <xf numFmtId="178" fontId="12" fillId="20" borderId="15" xfId="28" applyNumberFormat="1" applyFont="1" applyFill="1" applyBorder="1" applyAlignment="1">
      <alignment horizontal="center" vertical="center"/>
    </xf>
    <xf numFmtId="0" fontId="12" fillId="0" borderId="36" xfId="28" applyFont="1" applyBorder="1" applyAlignment="1">
      <alignment horizontal="center" vertical="center"/>
    </xf>
    <xf numFmtId="0" fontId="12" fillId="0" borderId="37" xfId="28" applyFont="1" applyBorder="1" applyAlignment="1">
      <alignment horizontal="center" vertical="center"/>
    </xf>
    <xf numFmtId="0" fontId="12" fillId="0" borderId="19" xfId="28" applyFont="1" applyBorder="1" applyAlignment="1">
      <alignment horizontal="center" vertical="center"/>
    </xf>
    <xf numFmtId="177" fontId="14" fillId="11" borderId="2" xfId="28" applyNumberFormat="1" applyFont="1" applyFill="1" applyBorder="1" applyAlignment="1">
      <alignment horizontal="center" vertical="center"/>
    </xf>
    <xf numFmtId="177" fontId="14" fillId="11" borderId="3" xfId="28" applyNumberFormat="1" applyFont="1" applyFill="1" applyBorder="1" applyAlignment="1">
      <alignment horizontal="center" vertical="center"/>
    </xf>
    <xf numFmtId="9" fontId="14" fillId="10" borderId="44" xfId="32" applyFont="1" applyFill="1" applyBorder="1" applyAlignment="1">
      <alignment horizontal="center" vertical="center"/>
    </xf>
    <xf numFmtId="9" fontId="14" fillId="10" borderId="29" xfId="32" applyFont="1" applyFill="1" applyBorder="1" applyAlignment="1">
      <alignment horizontal="center" vertical="center"/>
    </xf>
    <xf numFmtId="0" fontId="12" fillId="10" borderId="34" xfId="27" applyFont="1" applyFill="1" applyBorder="1" applyAlignment="1">
      <alignment horizontal="center" vertical="center"/>
    </xf>
    <xf numFmtId="0" fontId="19" fillId="10" borderId="30" xfId="27" applyFont="1" applyFill="1" applyBorder="1" applyAlignment="1">
      <alignment horizontal="left" vertical="center"/>
    </xf>
    <xf numFmtId="0" fontId="21" fillId="18" borderId="0" xfId="65" applyAlignment="1">
      <alignment horizontal="right" vertical="center" wrapText="1" shrinkToFit="1"/>
    </xf>
    <xf numFmtId="0" fontId="25" fillId="16" borderId="0" xfId="66" applyAlignment="1">
      <alignment horizontal="center" vertical="center" wrapText="1"/>
    </xf>
    <xf numFmtId="0" fontId="21" fillId="17" borderId="33" xfId="67" applyAlignment="1">
      <alignment horizontal="center" vertical="center" wrapText="1" shrinkToFit="1"/>
    </xf>
    <xf numFmtId="0" fontId="21" fillId="0" borderId="31" xfId="70">
      <alignment vertical="center"/>
    </xf>
    <xf numFmtId="0" fontId="24" fillId="0" borderId="0" xfId="71">
      <alignment vertical="center"/>
    </xf>
    <xf numFmtId="0" fontId="0" fillId="0" borderId="0" xfId="0" applyAlignment="1">
      <alignment vertical="center"/>
    </xf>
    <xf numFmtId="184" fontId="24" fillId="0" borderId="0" xfId="71" applyNumberFormat="1">
      <alignment vertical="center"/>
    </xf>
    <xf numFmtId="185" fontId="24" fillId="0" borderId="0" xfId="71" applyNumberFormat="1">
      <alignment vertical="center"/>
    </xf>
    <xf numFmtId="178" fontId="14" fillId="12" borderId="52" xfId="28" applyNumberFormat="1" applyFont="1" applyFill="1" applyBorder="1" applyAlignment="1">
      <alignment horizontal="center" vertical="center"/>
    </xf>
    <xf numFmtId="178" fontId="14" fillId="12" borderId="53" xfId="28" applyNumberFormat="1" applyFont="1" applyFill="1" applyBorder="1" applyAlignment="1">
      <alignment horizontal="center" vertical="center"/>
    </xf>
    <xf numFmtId="178" fontId="14" fillId="12" borderId="54" xfId="28" applyNumberFormat="1" applyFont="1" applyFill="1" applyBorder="1" applyAlignment="1">
      <alignment horizontal="center" vertical="center"/>
    </xf>
    <xf numFmtId="0" fontId="14" fillId="11" borderId="3" xfId="28" applyFont="1" applyFill="1" applyBorder="1" applyAlignment="1">
      <alignment horizontal="center" vertical="center"/>
    </xf>
    <xf numFmtId="186" fontId="12" fillId="10" borderId="0" xfId="27" applyNumberFormat="1" applyFont="1" applyFill="1">
      <alignment vertical="center"/>
    </xf>
    <xf numFmtId="186" fontId="14" fillId="11" borderId="3" xfId="28" applyNumberFormat="1" applyFont="1" applyFill="1" applyBorder="1" applyAlignment="1">
      <alignment horizontal="center" vertical="center"/>
    </xf>
    <xf numFmtId="186" fontId="14" fillId="11" borderId="10" xfId="28" applyNumberFormat="1" applyFont="1" applyFill="1" applyBorder="1" applyAlignment="1">
      <alignment horizontal="center" vertical="center"/>
    </xf>
    <xf numFmtId="1" fontId="14" fillId="12" borderId="9" xfId="32" applyNumberFormat="1" applyFont="1" applyFill="1" applyBorder="1" applyAlignment="1">
      <alignment horizontal="center" vertical="center"/>
    </xf>
    <xf numFmtId="0" fontId="11" fillId="0" borderId="36" xfId="28" applyFont="1" applyBorder="1" applyAlignment="1">
      <alignment horizontal="center" vertical="center"/>
    </xf>
    <xf numFmtId="0" fontId="11" fillId="0" borderId="37" xfId="28" applyFont="1" applyBorder="1" applyAlignment="1">
      <alignment horizontal="center" vertical="center"/>
    </xf>
    <xf numFmtId="0" fontId="11" fillId="0" borderId="38" xfId="28" applyFont="1" applyBorder="1" applyAlignment="1">
      <alignment horizontal="center" vertical="center"/>
    </xf>
    <xf numFmtId="0" fontId="11" fillId="0" borderId="19" xfId="28" applyFont="1" applyBorder="1" applyAlignment="1">
      <alignment horizontal="center" vertical="center"/>
    </xf>
    <xf numFmtId="0" fontId="11" fillId="0" borderId="20" xfId="28" applyFont="1" applyBorder="1" applyAlignment="1">
      <alignment horizontal="center" vertical="center"/>
    </xf>
    <xf numFmtId="180" fontId="12" fillId="10" borderId="23" xfId="31" applyNumberFormat="1" applyFont="1" applyFill="1" applyBorder="1" applyAlignment="1">
      <alignment horizontal="center"/>
    </xf>
    <xf numFmtId="180" fontId="12" fillId="10" borderId="24" xfId="31" applyNumberFormat="1" applyFont="1" applyFill="1" applyBorder="1" applyAlignment="1">
      <alignment horizontal="center"/>
    </xf>
    <xf numFmtId="180" fontId="12" fillId="10" borderId="36" xfId="31" applyNumberFormat="1" applyFont="1" applyFill="1" applyBorder="1" applyAlignment="1">
      <alignment horizontal="center" vertical="center"/>
    </xf>
    <xf numFmtId="180" fontId="12" fillId="10" borderId="37" xfId="31" applyNumberFormat="1" applyFont="1" applyFill="1" applyBorder="1" applyAlignment="1">
      <alignment horizontal="center" vertical="center"/>
    </xf>
    <xf numFmtId="180" fontId="12" fillId="10" borderId="56" xfId="31" applyNumberFormat="1" applyFont="1" applyFill="1" applyBorder="1" applyAlignment="1">
      <alignment horizontal="center" vertical="center"/>
    </xf>
    <xf numFmtId="180" fontId="12" fillId="10" borderId="55" xfId="31" applyNumberFormat="1" applyFont="1" applyFill="1" applyBorder="1" applyAlignment="1">
      <alignment horizontal="center" vertical="center"/>
    </xf>
    <xf numFmtId="0" fontId="11" fillId="10" borderId="18" xfId="28" applyFont="1" applyFill="1" applyBorder="1" applyAlignment="1">
      <alignment horizontal="center" vertical="center"/>
    </xf>
    <xf numFmtId="0" fontId="11" fillId="10" borderId="19" xfId="28" applyFont="1" applyFill="1" applyBorder="1" applyAlignment="1">
      <alignment horizontal="center" vertical="center"/>
    </xf>
    <xf numFmtId="0" fontId="11" fillId="10" borderId="20" xfId="28" applyFont="1" applyFill="1" applyBorder="1" applyAlignment="1">
      <alignment horizontal="center" vertical="center"/>
    </xf>
    <xf numFmtId="179" fontId="14" fillId="12" borderId="10" xfId="28" applyNumberFormat="1" applyFont="1" applyFill="1" applyBorder="1" applyAlignment="1">
      <alignment horizontal="center" vertical="center"/>
    </xf>
    <xf numFmtId="179" fontId="14" fillId="12" borderId="11" xfId="28" applyNumberFormat="1" applyFont="1" applyFill="1" applyBorder="1" applyAlignment="1">
      <alignment horizontal="center" vertical="center"/>
    </xf>
    <xf numFmtId="0" fontId="34" fillId="0" borderId="0" xfId="0" applyFont="1"/>
    <xf numFmtId="177" fontId="14" fillId="23" borderId="57" xfId="28" applyNumberFormat="1" applyFont="1" applyFill="1" applyBorder="1" applyAlignment="1">
      <alignment horizontal="center" vertical="center"/>
    </xf>
    <xf numFmtId="0" fontId="14" fillId="23" borderId="57" xfId="28" applyFont="1" applyFill="1" applyBorder="1">
      <alignment vertical="center"/>
    </xf>
    <xf numFmtId="0" fontId="34" fillId="0" borderId="57" xfId="0" applyFont="1" applyBorder="1"/>
    <xf numFmtId="0" fontId="34" fillId="24" borderId="57" xfId="0" applyFont="1" applyFill="1" applyBorder="1"/>
    <xf numFmtId="186" fontId="34" fillId="0" borderId="57" xfId="0" applyNumberFormat="1" applyFont="1" applyBorder="1"/>
    <xf numFmtId="0" fontId="14" fillId="8" borderId="5" xfId="28" applyFont="1" applyFill="1" applyBorder="1" applyAlignment="1">
      <alignment horizontal="center" vertical="center"/>
    </xf>
    <xf numFmtId="0" fontId="14" fillId="8" borderId="2" xfId="28" applyFont="1" applyFill="1" applyBorder="1">
      <alignment vertical="center"/>
    </xf>
    <xf numFmtId="0" fontId="14" fillId="8" borderId="35" xfId="28" applyFont="1" applyFill="1" applyBorder="1">
      <alignment vertical="center"/>
    </xf>
    <xf numFmtId="0" fontId="14" fillId="8" borderId="6" xfId="28" applyFont="1" applyFill="1" applyBorder="1">
      <alignment vertical="center"/>
    </xf>
    <xf numFmtId="0" fontId="0" fillId="23" borderId="0" xfId="0" applyFill="1"/>
    <xf numFmtId="177" fontId="14" fillId="8" borderId="10" xfId="28" applyNumberFormat="1" applyFont="1" applyFill="1" applyBorder="1" applyAlignment="1">
      <alignment horizontal="center" vertical="center"/>
    </xf>
    <xf numFmtId="177" fontId="14" fillId="8" borderId="8" xfId="28" applyNumberFormat="1" applyFont="1" applyFill="1" applyBorder="1" applyAlignment="1">
      <alignment horizontal="center" vertical="center"/>
    </xf>
    <xf numFmtId="0" fontId="13" fillId="0" borderId="0" xfId="0" applyFont="1"/>
    <xf numFmtId="176" fontId="14" fillId="8" borderId="23" xfId="28" applyNumberFormat="1" applyFont="1" applyFill="1" applyBorder="1" applyAlignment="1">
      <alignment horizontal="center" vertical="center"/>
    </xf>
    <xf numFmtId="176" fontId="14" fillId="8" borderId="24" xfId="28" applyNumberFormat="1" applyFont="1" applyFill="1" applyBorder="1" applyAlignment="1">
      <alignment horizontal="center" vertical="center"/>
    </xf>
    <xf numFmtId="0" fontId="14" fillId="8" borderId="10" xfId="28" applyFont="1" applyFill="1" applyBorder="1" applyAlignment="1">
      <alignment horizontal="center" vertical="center"/>
    </xf>
    <xf numFmtId="177" fontId="14" fillId="8" borderId="3" xfId="28" applyNumberFormat="1" applyFont="1" applyFill="1" applyBorder="1">
      <alignment vertical="center"/>
    </xf>
    <xf numFmtId="9" fontId="11" fillId="10" borderId="63" xfId="27" applyNumberFormat="1" applyFont="1" applyFill="1" applyBorder="1" applyAlignment="1">
      <alignment horizontal="center" vertical="center"/>
    </xf>
    <xf numFmtId="0" fontId="11" fillId="10" borderId="63" xfId="27" applyFont="1" applyFill="1" applyBorder="1" applyAlignment="1">
      <alignment horizontal="left" vertical="center"/>
    </xf>
    <xf numFmtId="0" fontId="11" fillId="10" borderId="39" xfId="27" applyFont="1" applyFill="1" applyBorder="1" applyAlignment="1">
      <alignment horizontal="center" vertical="center"/>
    </xf>
    <xf numFmtId="181" fontId="12" fillId="10" borderId="44" xfId="31" applyNumberFormat="1" applyFont="1" applyFill="1" applyBorder="1" applyAlignment="1">
      <alignment horizontal="center" vertical="center"/>
    </xf>
    <xf numFmtId="181" fontId="12" fillId="10" borderId="55" xfId="31" applyNumberFormat="1" applyFont="1" applyFill="1" applyBorder="1" applyAlignment="1">
      <alignment horizontal="center" vertical="center"/>
    </xf>
    <xf numFmtId="9" fontId="4" fillId="15" borderId="64" xfId="32" applyFont="1" applyFill="1" applyBorder="1" applyAlignment="1"/>
    <xf numFmtId="9" fontId="4" fillId="15" borderId="65" xfId="32" applyFont="1" applyFill="1" applyBorder="1" applyAlignment="1"/>
    <xf numFmtId="1" fontId="12" fillId="10" borderId="55" xfId="28" applyNumberFormat="1" applyFont="1" applyFill="1" applyBorder="1" applyAlignment="1">
      <alignment horizontal="center" vertical="center"/>
    </xf>
    <xf numFmtId="178" fontId="12" fillId="10" borderId="56" xfId="28" applyNumberFormat="1" applyFont="1" applyFill="1" applyBorder="1" applyAlignment="1">
      <alignment horizontal="center" vertical="center"/>
    </xf>
    <xf numFmtId="178" fontId="12" fillId="10" borderId="55" xfId="28" applyNumberFormat="1" applyFont="1" applyFill="1" applyBorder="1" applyAlignment="1">
      <alignment horizontal="center" vertical="center"/>
    </xf>
    <xf numFmtId="178" fontId="12" fillId="10" borderId="51" xfId="28" applyNumberFormat="1" applyFont="1" applyFill="1" applyBorder="1" applyAlignment="1">
      <alignment horizontal="center" vertical="center"/>
    </xf>
    <xf numFmtId="9" fontId="14" fillId="10" borderId="39" xfId="32" applyFont="1" applyFill="1" applyBorder="1" applyAlignment="1">
      <alignment horizontal="center" vertical="center"/>
    </xf>
    <xf numFmtId="0" fontId="12" fillId="10" borderId="56" xfId="28" applyFont="1" applyFill="1" applyBorder="1">
      <alignment vertical="center"/>
    </xf>
    <xf numFmtId="0" fontId="11" fillId="22" borderId="66" xfId="27" applyFont="1" applyFill="1" applyBorder="1" applyAlignment="1">
      <alignment horizontal="left" vertical="center"/>
    </xf>
    <xf numFmtId="0" fontId="11" fillId="10" borderId="67" xfId="27" applyFont="1" applyFill="1" applyBorder="1" applyAlignment="1">
      <alignment horizontal="center" vertical="center"/>
    </xf>
    <xf numFmtId="0" fontId="12" fillId="0" borderId="43" xfId="28" applyFont="1" applyBorder="1" applyAlignment="1">
      <alignment horizontal="center" vertical="center"/>
    </xf>
    <xf numFmtId="178" fontId="12" fillId="0" borderId="55" xfId="28" applyNumberFormat="1" applyFont="1" applyBorder="1" applyAlignment="1">
      <alignment horizontal="center" vertical="center"/>
    </xf>
    <xf numFmtId="178" fontId="12" fillId="0" borderId="56" xfId="28" applyNumberFormat="1" applyFont="1" applyBorder="1" applyAlignment="1">
      <alignment horizontal="center" vertical="center"/>
    </xf>
    <xf numFmtId="178" fontId="12" fillId="0" borderId="51" xfId="28" applyNumberFormat="1" applyFont="1" applyBorder="1" applyAlignment="1">
      <alignment horizontal="center" vertical="center"/>
    </xf>
    <xf numFmtId="0" fontId="11" fillId="10" borderId="66" xfId="27" applyFont="1" applyFill="1" applyBorder="1" applyAlignment="1">
      <alignment horizontal="left" vertical="center"/>
    </xf>
    <xf numFmtId="0" fontId="11" fillId="10" borderId="41" xfId="27" applyFont="1" applyFill="1" applyBorder="1" applyAlignment="1">
      <alignment horizontal="left" vertical="center"/>
    </xf>
    <xf numFmtId="0" fontId="11" fillId="10" borderId="44" xfId="27" applyFont="1" applyFill="1" applyBorder="1" applyAlignment="1">
      <alignment horizontal="center" vertical="center"/>
    </xf>
    <xf numFmtId="0" fontId="12" fillId="0" borderId="56" xfId="28" applyFont="1" applyBorder="1" applyAlignment="1">
      <alignment horizontal="center" vertical="center"/>
    </xf>
    <xf numFmtId="0" fontId="12" fillId="0" borderId="55" xfId="28" applyFont="1" applyBorder="1" applyAlignment="1">
      <alignment horizontal="center" vertical="center"/>
    </xf>
    <xf numFmtId="0" fontId="12" fillId="10" borderId="55" xfId="28" applyFont="1" applyFill="1" applyBorder="1" applyAlignment="1">
      <alignment horizontal="center" vertical="center"/>
    </xf>
    <xf numFmtId="0" fontId="12" fillId="10" borderId="50" xfId="28" applyFont="1" applyFill="1" applyBorder="1" applyAlignment="1">
      <alignment horizontal="center" vertical="center"/>
    </xf>
    <xf numFmtId="0" fontId="11" fillId="0" borderId="41" xfId="27" applyFont="1" applyBorder="1" applyAlignment="1">
      <alignment horizontal="left" vertical="center"/>
    </xf>
    <xf numFmtId="9" fontId="18" fillId="10" borderId="49" xfId="27" applyNumberFormat="1" applyFont="1" applyFill="1" applyBorder="1" applyAlignment="1">
      <alignment horizontal="center" vertical="center"/>
    </xf>
    <xf numFmtId="180" fontId="12" fillId="10" borderId="68" xfId="31" applyNumberFormat="1" applyFont="1" applyFill="1" applyBorder="1" applyAlignment="1">
      <alignment horizontal="center" vertical="center"/>
    </xf>
    <xf numFmtId="180" fontId="12" fillId="10" borderId="69" xfId="31" applyNumberFormat="1" applyFont="1" applyFill="1" applyBorder="1" applyAlignment="1">
      <alignment horizontal="center" vertical="center"/>
    </xf>
    <xf numFmtId="0" fontId="12" fillId="0" borderId="70" xfId="28" applyFont="1" applyBorder="1" applyAlignment="1">
      <alignment horizontal="center" vertical="center"/>
    </xf>
    <xf numFmtId="0" fontId="12" fillId="0" borderId="71" xfId="28" applyFont="1" applyBorder="1" applyAlignment="1">
      <alignment horizontal="center" vertical="center"/>
    </xf>
    <xf numFmtId="1" fontId="12" fillId="10" borderId="71" xfId="28" applyNumberFormat="1" applyFont="1" applyFill="1" applyBorder="1" applyAlignment="1">
      <alignment horizontal="center" vertical="center"/>
    </xf>
    <xf numFmtId="178" fontId="12" fillId="10" borderId="70" xfId="28" applyNumberFormat="1" applyFont="1" applyFill="1" applyBorder="1" applyAlignment="1">
      <alignment horizontal="center" vertical="center"/>
    </xf>
    <xf numFmtId="0" fontId="12" fillId="0" borderId="68" xfId="28" applyFont="1" applyBorder="1" applyAlignment="1">
      <alignment horizontal="center" vertical="center"/>
    </xf>
    <xf numFmtId="0" fontId="12" fillId="0" borderId="69" xfId="28" applyFont="1" applyBorder="1" applyAlignment="1">
      <alignment horizontal="center" vertical="center"/>
    </xf>
    <xf numFmtId="1" fontId="12" fillId="10" borderId="69" xfId="28" applyNumberFormat="1" applyFont="1" applyFill="1" applyBorder="1" applyAlignment="1">
      <alignment horizontal="center" vertical="center"/>
    </xf>
    <xf numFmtId="178" fontId="12" fillId="10" borderId="68" xfId="28" applyNumberFormat="1" applyFont="1" applyFill="1" applyBorder="1" applyAlignment="1">
      <alignment horizontal="center" vertical="center"/>
    </xf>
    <xf numFmtId="0" fontId="12" fillId="10" borderId="72" xfId="28" applyFont="1" applyFill="1" applyBorder="1">
      <alignment vertical="center"/>
    </xf>
    <xf numFmtId="0" fontId="12" fillId="10" borderId="63" xfId="28" applyFont="1" applyFill="1" applyBorder="1">
      <alignment vertical="center"/>
    </xf>
    <xf numFmtId="178" fontId="12" fillId="10" borderId="18" xfId="28" applyNumberFormat="1" applyFont="1" applyFill="1" applyBorder="1" applyAlignment="1">
      <alignment horizontal="center" vertical="center"/>
    </xf>
    <xf numFmtId="0" fontId="12" fillId="10" borderId="51" xfId="28" applyFont="1" applyFill="1" applyBorder="1">
      <alignment vertical="center"/>
    </xf>
    <xf numFmtId="0" fontId="12" fillId="10" borderId="66" xfId="28" applyFont="1" applyFill="1" applyBorder="1">
      <alignment vertical="center"/>
    </xf>
    <xf numFmtId="178" fontId="12" fillId="10" borderId="50" xfId="28" applyNumberFormat="1" applyFont="1" applyFill="1" applyBorder="1" applyAlignment="1">
      <alignment horizontal="center" vertical="center"/>
    </xf>
    <xf numFmtId="0" fontId="12" fillId="22" borderId="66" xfId="28" applyFont="1" applyFill="1" applyBorder="1">
      <alignment vertical="center"/>
    </xf>
    <xf numFmtId="0" fontId="12" fillId="10" borderId="73" xfId="28" applyFont="1" applyFill="1" applyBorder="1">
      <alignment vertical="center"/>
    </xf>
    <xf numFmtId="0" fontId="12" fillId="10" borderId="74" xfId="28" applyFont="1" applyFill="1" applyBorder="1" applyAlignment="1">
      <alignment horizontal="center" vertical="center"/>
    </xf>
    <xf numFmtId="9" fontId="4" fillId="10" borderId="64" xfId="32" applyFont="1" applyFill="1" applyBorder="1" applyAlignment="1"/>
    <xf numFmtId="9" fontId="4" fillId="10" borderId="65" xfId="32" applyFont="1" applyFill="1" applyBorder="1" applyAlignment="1"/>
    <xf numFmtId="0" fontId="17" fillId="10" borderId="66" xfId="28" applyFont="1" applyFill="1" applyBorder="1">
      <alignment vertical="center"/>
    </xf>
    <xf numFmtId="0" fontId="12" fillId="0" borderId="51" xfId="28" applyFont="1" applyBorder="1">
      <alignment vertical="center"/>
    </xf>
    <xf numFmtId="0" fontId="12" fillId="0" borderId="66" xfId="28" applyFont="1" applyBorder="1">
      <alignment vertical="center"/>
    </xf>
    <xf numFmtId="9" fontId="11" fillId="0" borderId="63" xfId="27" applyNumberFormat="1" applyFont="1" applyBorder="1" applyAlignment="1">
      <alignment horizontal="center" vertical="center"/>
    </xf>
    <xf numFmtId="0" fontId="12" fillId="0" borderId="41" xfId="28" applyFont="1" applyBorder="1">
      <alignment vertical="center"/>
    </xf>
    <xf numFmtId="0" fontId="12" fillId="0" borderId="44" xfId="28" applyFont="1" applyBorder="1" applyAlignment="1">
      <alignment horizontal="center" vertical="center"/>
    </xf>
    <xf numFmtId="181" fontId="12" fillId="0" borderId="44" xfId="31" applyNumberFormat="1" applyFont="1" applyBorder="1" applyAlignment="1">
      <alignment horizontal="center" vertical="center"/>
    </xf>
    <xf numFmtId="9" fontId="4" fillId="0" borderId="64" xfId="32" applyFont="1" applyBorder="1" applyAlignment="1"/>
    <xf numFmtId="9" fontId="4" fillId="0" borderId="65" xfId="32" applyFont="1" applyBorder="1" applyAlignment="1"/>
    <xf numFmtId="9" fontId="14" fillId="0" borderId="44" xfId="32" applyFont="1" applyBorder="1" applyAlignment="1">
      <alignment horizontal="center" vertical="center"/>
    </xf>
    <xf numFmtId="9" fontId="4" fillId="20" borderId="64" xfId="32" applyFont="1" applyFill="1" applyBorder="1" applyAlignment="1"/>
    <xf numFmtId="9" fontId="4" fillId="20" borderId="65" xfId="32" applyFont="1" applyFill="1" applyBorder="1" applyAlignment="1"/>
    <xf numFmtId="0" fontId="12" fillId="10" borderId="56" xfId="28" applyFont="1" applyFill="1" applyBorder="1" applyAlignment="1">
      <alignment horizontal="left" vertical="center"/>
    </xf>
    <xf numFmtId="0" fontId="12" fillId="0" borderId="73" xfId="28" applyFont="1" applyBorder="1">
      <alignment vertical="center"/>
    </xf>
    <xf numFmtId="0" fontId="12" fillId="0" borderId="74" xfId="28" applyFont="1" applyBorder="1" applyAlignment="1">
      <alignment horizontal="center" vertical="center"/>
    </xf>
    <xf numFmtId="178" fontId="12" fillId="20" borderId="51" xfId="28" applyNumberFormat="1" applyFont="1" applyFill="1" applyBorder="1" applyAlignment="1">
      <alignment horizontal="center" vertical="center"/>
    </xf>
    <xf numFmtId="0" fontId="12" fillId="10" borderId="75" xfId="28" applyFont="1" applyFill="1" applyBorder="1">
      <alignment vertical="center"/>
    </xf>
    <xf numFmtId="0" fontId="12" fillId="10" borderId="76" xfId="28" applyFont="1" applyFill="1" applyBorder="1">
      <alignment vertical="center"/>
    </xf>
    <xf numFmtId="9" fontId="12" fillId="10" borderId="76" xfId="32" applyFont="1" applyFill="1" applyBorder="1" applyAlignment="1">
      <alignment horizontal="center" vertical="center"/>
    </xf>
    <xf numFmtId="181" fontId="12" fillId="10" borderId="77" xfId="31" applyNumberFormat="1" applyFont="1" applyFill="1" applyBorder="1" applyAlignment="1">
      <alignment horizontal="center" vertical="center"/>
    </xf>
    <xf numFmtId="181" fontId="12" fillId="10" borderId="78" xfId="31" applyNumberFormat="1" applyFont="1" applyFill="1" applyBorder="1" applyAlignment="1">
      <alignment horizontal="center" vertical="center"/>
    </xf>
    <xf numFmtId="181" fontId="12" fillId="10" borderId="79" xfId="31" applyNumberFormat="1" applyFont="1" applyFill="1" applyBorder="1" applyAlignment="1">
      <alignment horizontal="center" vertical="center"/>
    </xf>
    <xf numFmtId="181" fontId="12" fillId="10" borderId="80" xfId="31" applyNumberFormat="1" applyFont="1" applyFill="1" applyBorder="1" applyAlignment="1">
      <alignment horizontal="center" vertical="center"/>
    </xf>
    <xf numFmtId="180" fontId="12" fillId="10" borderId="77" xfId="31" applyNumberFormat="1" applyFont="1" applyFill="1" applyBorder="1" applyAlignment="1">
      <alignment horizontal="center" vertical="center"/>
    </xf>
    <xf numFmtId="180" fontId="12" fillId="10" borderId="78" xfId="31" applyNumberFormat="1" applyFont="1" applyFill="1" applyBorder="1" applyAlignment="1">
      <alignment horizontal="center" vertical="center"/>
    </xf>
    <xf numFmtId="180" fontId="12" fillId="10" borderId="81" xfId="31" applyNumberFormat="1" applyFont="1" applyFill="1" applyBorder="1" applyAlignment="1">
      <alignment horizontal="center" vertical="center"/>
    </xf>
    <xf numFmtId="0" fontId="12" fillId="10" borderId="82" xfId="28" applyFont="1" applyFill="1" applyBorder="1" applyAlignment="1">
      <alignment horizontal="left" vertical="center"/>
    </xf>
    <xf numFmtId="0" fontId="11" fillId="10" borderId="39" xfId="27" applyFont="1" applyFill="1" applyBorder="1" applyAlignment="1">
      <alignment horizontal="left" vertical="center"/>
    </xf>
    <xf numFmtId="0" fontId="12" fillId="10" borderId="38" xfId="28" applyFont="1" applyFill="1" applyBorder="1" applyAlignment="1">
      <alignment horizontal="center" vertical="center"/>
    </xf>
    <xf numFmtId="178" fontId="11" fillId="10" borderId="77" xfId="31" applyNumberFormat="1" applyFont="1" applyFill="1" applyBorder="1" applyAlignment="1">
      <alignment horizontal="center" vertical="center"/>
    </xf>
    <xf numFmtId="178" fontId="11" fillId="10" borderId="78" xfId="31" applyNumberFormat="1" applyFont="1" applyFill="1" applyBorder="1" applyAlignment="1">
      <alignment horizontal="center" vertical="center"/>
    </xf>
    <xf numFmtId="178" fontId="11" fillId="0" borderId="79" xfId="31" applyNumberFormat="1" applyFont="1" applyBorder="1" applyAlignment="1">
      <alignment horizontal="center" vertical="center"/>
    </xf>
    <xf numFmtId="0" fontId="12" fillId="10" borderId="83" xfId="28" applyFont="1" applyFill="1" applyBorder="1" applyAlignment="1">
      <alignment horizontal="left" vertical="center"/>
    </xf>
    <xf numFmtId="0" fontId="12" fillId="10" borderId="75" xfId="28" applyFont="1" applyFill="1" applyBorder="1" applyAlignment="1">
      <alignment horizontal="left" vertical="center"/>
    </xf>
    <xf numFmtId="0" fontId="14" fillId="10" borderId="75" xfId="28" applyFont="1" applyFill="1" applyBorder="1" applyAlignment="1">
      <alignment horizontal="left" vertical="center"/>
    </xf>
    <xf numFmtId="0" fontId="11" fillId="10" borderId="75" xfId="27" applyFont="1" applyFill="1" applyBorder="1" applyAlignment="1">
      <alignment horizontal="center" vertical="center"/>
    </xf>
    <xf numFmtId="0" fontId="11" fillId="10" borderId="66" xfId="27" applyFont="1" applyFill="1" applyBorder="1" applyAlignment="1">
      <alignment horizontal="center" vertical="center"/>
    </xf>
    <xf numFmtId="0" fontId="11" fillId="10" borderId="84" xfId="27" applyFont="1" applyFill="1" applyBorder="1" applyAlignment="1">
      <alignment horizontal="left" vertical="center"/>
    </xf>
    <xf numFmtId="0" fontId="12" fillId="10" borderId="78" xfId="28" applyFont="1" applyFill="1" applyBorder="1" applyAlignment="1">
      <alignment horizontal="center" vertical="center"/>
    </xf>
    <xf numFmtId="0" fontId="12" fillId="10" borderId="79" xfId="28" applyFont="1" applyFill="1" applyBorder="1" applyAlignment="1">
      <alignment horizontal="center" vertical="center"/>
    </xf>
    <xf numFmtId="178" fontId="11" fillId="10" borderId="79" xfId="31" applyNumberFormat="1" applyFont="1" applyFill="1" applyBorder="1" applyAlignment="1">
      <alignment horizontal="center" vertical="center"/>
    </xf>
    <xf numFmtId="178" fontId="11" fillId="0" borderId="77" xfId="31" applyNumberFormat="1" applyFont="1" applyBorder="1" applyAlignment="1">
      <alignment horizontal="center" vertical="center"/>
    </xf>
    <xf numFmtId="178" fontId="11" fillId="0" borderId="78" xfId="31" applyNumberFormat="1" applyFont="1" applyBorder="1" applyAlignment="1">
      <alignment horizontal="center" vertical="center"/>
    </xf>
    <xf numFmtId="0" fontId="14" fillId="23" borderId="57" xfId="28" applyFont="1" applyFill="1" applyBorder="1" applyAlignment="1">
      <alignment horizontal="center" vertical="center"/>
    </xf>
    <xf numFmtId="0" fontId="0" fillId="0" borderId="60" xfId="0" applyBorder="1"/>
    <xf numFmtId="0" fontId="14" fillId="0" borderId="57" xfId="28" applyFont="1" applyBorder="1" applyAlignment="1">
      <alignment horizontal="center" vertical="center"/>
    </xf>
    <xf numFmtId="0" fontId="0" fillId="0" borderId="61" xfId="0" applyBorder="1"/>
    <xf numFmtId="0" fontId="0" fillId="0" borderId="58" xfId="0" applyBorder="1"/>
    <xf numFmtId="0" fontId="0" fillId="0" borderId="59" xfId="0" applyBorder="1"/>
    <xf numFmtId="0" fontId="34" fillId="0" borderId="62" xfId="0" applyFont="1" applyBorder="1" applyAlignment="1">
      <alignment horizontal="center"/>
    </xf>
    <xf numFmtId="0" fontId="34" fillId="0" borderId="61" xfId="0" applyFont="1" applyBorder="1" applyAlignment="1">
      <alignment horizontal="center"/>
    </xf>
    <xf numFmtId="0" fontId="34" fillId="0" borderId="60" xfId="0" applyFont="1" applyBorder="1" applyAlignment="1">
      <alignment horizontal="center"/>
    </xf>
    <xf numFmtId="177" fontId="12" fillId="10" borderId="0" xfId="28" applyNumberFormat="1" applyFont="1" applyFill="1" applyAlignment="1">
      <alignment horizontal="center" vertical="center"/>
    </xf>
    <xf numFmtId="0" fontId="12" fillId="10" borderId="0" xfId="27" applyFont="1" applyFill="1">
      <alignment vertical="center"/>
    </xf>
    <xf numFmtId="0" fontId="14" fillId="10" borderId="16" xfId="28" applyFont="1" applyFill="1" applyBorder="1" applyAlignment="1">
      <alignment horizontal="center" vertical="center"/>
    </xf>
    <xf numFmtId="0" fontId="0" fillId="0" borderId="12" xfId="0" applyBorder="1"/>
    <xf numFmtId="0" fontId="14" fillId="10" borderId="5" xfId="28" applyFont="1" applyFill="1" applyBorder="1" applyAlignment="1">
      <alignment horizontal="center" vertical="center"/>
    </xf>
    <xf numFmtId="0" fontId="0" fillId="0" borderId="21" xfId="0" applyBorder="1"/>
    <xf numFmtId="177" fontId="14" fillId="11" borderId="5" xfId="28" applyNumberFormat="1" applyFont="1" applyFill="1" applyBorder="1" applyAlignment="1">
      <alignment horizontal="center" vertical="center"/>
    </xf>
    <xf numFmtId="0" fontId="22" fillId="0" borderId="0" xfId="68">
      <alignment vertical="center"/>
    </xf>
    <xf numFmtId="0" fontId="11" fillId="10" borderId="0" xfId="27" applyFont="1" applyFill="1">
      <alignment vertical="center"/>
    </xf>
    <xf numFmtId="0" fontId="14" fillId="9" borderId="5" xfId="28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23" fillId="0" borderId="0" xfId="69">
      <alignment vertical="center"/>
    </xf>
    <xf numFmtId="0" fontId="14" fillId="21" borderId="5" xfId="28" applyFont="1" applyFill="1" applyBorder="1" applyAlignment="1">
      <alignment horizontal="center" vertical="center"/>
    </xf>
    <xf numFmtId="0" fontId="14" fillId="11" borderId="2" xfId="28" applyFont="1" applyFill="1" applyBorder="1" applyAlignment="1">
      <alignment horizontal="center"/>
    </xf>
    <xf numFmtId="177" fontId="14" fillId="8" borderId="5" xfId="28" applyNumberFormat="1" applyFont="1" applyFill="1" applyBorder="1" applyAlignment="1">
      <alignment horizontal="center" vertical="center"/>
    </xf>
    <xf numFmtId="0" fontId="0" fillId="8" borderId="3" xfId="0" applyFill="1" applyBorder="1"/>
    <xf numFmtId="0" fontId="0" fillId="8" borderId="4" xfId="0" applyFill="1" applyBorder="1"/>
    <xf numFmtId="0" fontId="14" fillId="8" borderId="2" xfId="28" applyFont="1" applyFill="1" applyBorder="1" applyAlignment="1">
      <alignment horizontal="center" vertical="center"/>
    </xf>
    <xf numFmtId="0" fontId="14" fillId="11" borderId="3" xfId="28" applyFont="1" applyFill="1" applyBorder="1" applyAlignment="1">
      <alignment horizontal="center" vertical="center"/>
    </xf>
    <xf numFmtId="0" fontId="0" fillId="0" borderId="22" xfId="0" applyBorder="1"/>
    <xf numFmtId="0" fontId="14" fillId="9" borderId="2" xfId="28" applyFont="1" applyFill="1" applyBorder="1" applyAlignment="1">
      <alignment horizontal="center" vertical="center"/>
    </xf>
    <xf numFmtId="0" fontId="14" fillId="12" borderId="2" xfId="28" applyFont="1" applyFill="1" applyBorder="1" applyAlignment="1">
      <alignment horizontal="center" vertical="center"/>
    </xf>
    <xf numFmtId="0" fontId="14" fillId="10" borderId="5" xfId="28" applyFont="1" applyFill="1" applyBorder="1" applyAlignment="1">
      <alignment horizontal="center" vertical="center" wrapText="1"/>
    </xf>
    <xf numFmtId="0" fontId="14" fillId="8" borderId="5" xfId="28" applyFont="1" applyFill="1" applyBorder="1" applyAlignment="1">
      <alignment horizontal="center" vertical="center"/>
    </xf>
  </cellXfs>
  <cellStyles count="72">
    <cellStyle name="___col1" xfId="3" xr:uid="{00000000-0005-0000-0000-000003000000}"/>
    <cellStyle name="___col1 2" xfId="21" xr:uid="{00000000-0005-0000-0000-000015000000}"/>
    <cellStyle name="___col2" xfId="6" xr:uid="{00000000-0005-0000-0000-000006000000}"/>
    <cellStyle name="___col3" xfId="7" xr:uid="{00000000-0005-0000-0000-000007000000}"/>
    <cellStyle name="___row1" xfId="8" xr:uid="{00000000-0005-0000-0000-000008000000}"/>
    <cellStyle name="___row1 2" xfId="20" xr:uid="{00000000-0005-0000-0000-000014000000}"/>
    <cellStyle name="___row2" xfId="4" xr:uid="{00000000-0005-0000-0000-000004000000}"/>
    <cellStyle name="___row3" xfId="9" xr:uid="{00000000-0005-0000-0000-000009000000}"/>
    <cellStyle name="__col2" xfId="10" xr:uid="{00000000-0005-0000-0000-00000A000000}"/>
    <cellStyle name="__col3" xfId="11" xr:uid="{00000000-0005-0000-0000-00000B000000}"/>
    <cellStyle name="__page" xfId="1" xr:uid="{00000000-0005-0000-0000-000001000000}"/>
    <cellStyle name="__page 2" xfId="23" xr:uid="{00000000-0005-0000-0000-000017000000}"/>
    <cellStyle name="__row2" xfId="12" xr:uid="{00000000-0005-0000-0000-00000C000000}"/>
    <cellStyle name="__row3" xfId="13" xr:uid="{00000000-0005-0000-0000-00000D000000}"/>
    <cellStyle name="_col1" xfId="14" xr:uid="{00000000-0005-0000-0000-00000E000000}"/>
    <cellStyle name="_col2" xfId="15" xr:uid="{00000000-0005-0000-0000-00000F000000}"/>
    <cellStyle name="_col3" xfId="16" xr:uid="{00000000-0005-0000-0000-000010000000}"/>
    <cellStyle name="_data" xfId="5" xr:uid="{00000000-0005-0000-0000-000005000000}"/>
    <cellStyle name="_page" xfId="2" xr:uid="{00000000-0005-0000-0000-000002000000}"/>
    <cellStyle name="_page 2" xfId="22" xr:uid="{00000000-0005-0000-0000-000016000000}"/>
    <cellStyle name="_row1" xfId="17" xr:uid="{00000000-0005-0000-0000-000011000000}"/>
    <cellStyle name="_row2" xfId="18" xr:uid="{00000000-0005-0000-0000-000012000000}"/>
    <cellStyle name="_row3" xfId="19" xr:uid="{00000000-0005-0000-0000-000013000000}"/>
    <cellStyle name="Comma 2" xfId="24" xr:uid="{00000000-0005-0000-0000-000018000000}"/>
    <cellStyle name="Legacy_2Column" xfId="65" xr:uid="{00000000-0005-0000-0000-000041000000}"/>
    <cellStyle name="Legacy_2HeaderDimension" xfId="66" xr:uid="{00000000-0005-0000-0000-000042000000}"/>
    <cellStyle name="Legacy_2HeaderElement" xfId="67" xr:uid="{00000000-0005-0000-0000-000043000000}"/>
    <cellStyle name="Legacy_2Source" xfId="71" xr:uid="{00000000-0005-0000-0000-000047000000}"/>
    <cellStyle name="Legacy_2SubTitle" xfId="69" xr:uid="{00000000-0005-0000-0000-000045000000}"/>
    <cellStyle name="Legacy_2Title" xfId="68" xr:uid="{00000000-0005-0000-0000-000044000000}"/>
    <cellStyle name="Legacy_2TitleSpacer" xfId="70" xr:uid="{00000000-0005-0000-0000-000046000000}"/>
    <cellStyle name="LegacyColumn" xfId="48" xr:uid="{00000000-0005-0000-0000-000030000000}"/>
    <cellStyle name="Legacy-FBPColumn" xfId="41" xr:uid="{00000000-0005-0000-0000-000029000000}"/>
    <cellStyle name="Legacy-FBPColumnHidden" xfId="42" xr:uid="{00000000-0005-0000-0000-00002A000000}"/>
    <cellStyle name="Legacy-FBPColumnSpacer" xfId="40" xr:uid="{00000000-0005-0000-0000-000028000000}"/>
    <cellStyle name="Legacy-FBPData" xfId="45" xr:uid="{00000000-0005-0000-0000-00002D000000}"/>
    <cellStyle name="Legacy-FBPHeaderDimension" xfId="38" xr:uid="{00000000-0005-0000-0000-000026000000}"/>
    <cellStyle name="Legacy-FBPHeaderElement" xfId="39" xr:uid="{00000000-0005-0000-0000-000027000000}"/>
    <cellStyle name="Legacy-FBPHeaderSpacer" xfId="37" xr:uid="{00000000-0005-0000-0000-000025000000}"/>
    <cellStyle name="Legacy-FBPRow" xfId="43" xr:uid="{00000000-0005-0000-0000-00002B000000}"/>
    <cellStyle name="Legacy-FBPRowCollapsed" xfId="47" xr:uid="{00000000-0005-0000-0000-00002F000000}"/>
    <cellStyle name="Legacy-FBPRowExpanded" xfId="46" xr:uid="{00000000-0005-0000-0000-00002E000000}"/>
    <cellStyle name="Legacy-FBPRowHidden" xfId="44" xr:uid="{00000000-0005-0000-0000-00002C000000}"/>
    <cellStyle name="Legacy-FBPSource" xfId="36" xr:uid="{00000000-0005-0000-0000-000024000000}"/>
    <cellStyle name="Legacy-FBPSubTitle" xfId="35" xr:uid="{00000000-0005-0000-0000-000023000000}"/>
    <cellStyle name="Legacy-FBPTitle" xfId="34" xr:uid="{00000000-0005-0000-0000-000022000000}"/>
    <cellStyle name="Legacy-FBPTitleSpacer" xfId="33" xr:uid="{00000000-0005-0000-0000-000021000000}"/>
    <cellStyle name="Normal 2" xfId="25" xr:uid="{00000000-0005-0000-0000-000019000000}"/>
    <cellStyle name="Percent 2" xfId="26" xr:uid="{00000000-0005-0000-0000-00001A000000}"/>
    <cellStyle name="WhiteColumn" xfId="58" xr:uid="{00000000-0005-0000-0000-00003A000000}"/>
    <cellStyle name="WhiteColumnHidden" xfId="59" xr:uid="{00000000-0005-0000-0000-00003B000000}"/>
    <cellStyle name="WhiteColumnSpacer" xfId="57" xr:uid="{00000000-0005-0000-0000-000039000000}"/>
    <cellStyle name="WhiteData" xfId="62" xr:uid="{00000000-0005-0000-0000-00003E000000}"/>
    <cellStyle name="WhiteHeaderDimension" xfId="55" xr:uid="{00000000-0005-0000-0000-000037000000}"/>
    <cellStyle name="WhiteHeaderElement" xfId="56" xr:uid="{00000000-0005-0000-0000-000038000000}"/>
    <cellStyle name="WhiteHeaderSpacer" xfId="54" xr:uid="{00000000-0005-0000-0000-000036000000}"/>
    <cellStyle name="WhiteRow" xfId="60" xr:uid="{00000000-0005-0000-0000-00003C000000}"/>
    <cellStyle name="WhiteRowCollapsed" xfId="64" xr:uid="{00000000-0005-0000-0000-000040000000}"/>
    <cellStyle name="WhiteRowExpanded" xfId="63" xr:uid="{00000000-0005-0000-0000-00003F000000}"/>
    <cellStyle name="WhiteRowHidden" xfId="61" xr:uid="{00000000-0005-0000-0000-00003D000000}"/>
    <cellStyle name="WhiteSource" xfId="53" xr:uid="{00000000-0005-0000-0000-000035000000}"/>
    <cellStyle name="WhiteSubTitle" xfId="52" xr:uid="{00000000-0005-0000-0000-000034000000}"/>
    <cellStyle name="WhiteTitle" xfId="51" xr:uid="{00000000-0005-0000-0000-000033000000}"/>
    <cellStyle name="WhiteTitleSpacer" xfId="50" xr:uid="{00000000-0005-0000-0000-000032000000}"/>
    <cellStyle name="一般" xfId="0" builtinId="0"/>
    <cellStyle name="一般 2 2" xfId="28" xr:uid="{00000000-0005-0000-0000-00001C000000}"/>
    <cellStyle name="一般 3 2" xfId="27" xr:uid="{00000000-0005-0000-0000-00001B000000}"/>
    <cellStyle name="一般 4 2 2 2" xfId="49" xr:uid="{00000000-0005-0000-0000-000031000000}"/>
    <cellStyle name="千分位" xfId="31" builtinId="3"/>
    <cellStyle name="千分位 2 2" xfId="29" xr:uid="{00000000-0005-0000-0000-00001D000000}"/>
    <cellStyle name="百分比" xfId="32" builtinId="5"/>
    <cellStyle name="百分比 2" xfId="30" xr:uid="{00000000-0005-0000-0000-00001E000000}"/>
  </cellStyles>
  <dxfs count="16">
    <dxf>
      <font>
        <b/>
        <color rgb="FF0000FF"/>
      </font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00FF"/>
      </font>
    </dxf>
    <dxf>
      <font>
        <b/>
        <color rgb="FF0000FF"/>
      </font>
    </dxf>
    <dxf>
      <font>
        <b/>
        <color rgb="FF0000FF"/>
      </font>
    </dxf>
    <dxf>
      <font>
        <b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/>
        <color rgb="FF0000FF"/>
      </font>
    </dxf>
    <dxf>
      <font>
        <b/>
        <color rgb="FF0000FF"/>
      </font>
    </dxf>
    <dxf>
      <font>
        <b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22/10/relationships/richValueRel" Target="richData/richValueRel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CheckBox" fmlaLink="$A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2</xdr:row>
          <xdr:rowOff>69850</xdr:rowOff>
        </xdr:from>
        <xdr:to>
          <xdr:col>2</xdr:col>
          <xdr:colOff>260350</xdr:colOff>
          <xdr:row>4</xdr:row>
          <xdr:rowOff>50800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AutoReflash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1765300</xdr:colOff>
      <xdr:row>2</xdr:row>
      <xdr:rowOff>171450</xdr:rowOff>
    </xdr:from>
    <xdr:to>
      <xdr:col>10</xdr:col>
      <xdr:colOff>95250</xdr:colOff>
      <xdr:row>4</xdr:row>
      <xdr:rowOff>25400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6682859C-7159-BA6E-A76C-E1E708D0DA10}"/>
            </a:ext>
          </a:extLst>
        </xdr:cNvPr>
        <xdr:cNvSpPr/>
      </xdr:nvSpPr>
      <xdr:spPr>
        <a:xfrm>
          <a:off x="5378450" y="546100"/>
          <a:ext cx="4203700" cy="24765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95250</xdr:colOff>
      <xdr:row>3</xdr:row>
      <xdr:rowOff>98425</xdr:rowOff>
    </xdr:from>
    <xdr:to>
      <xdr:col>12</xdr:col>
      <xdr:colOff>76200</xdr:colOff>
      <xdr:row>10</xdr:row>
      <xdr:rowOff>114300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817A9DAA-A9C7-5C89-7EE8-354970EA5690}"/>
            </a:ext>
          </a:extLst>
        </xdr:cNvPr>
        <xdr:cNvCxnSpPr>
          <a:stCxn id="2" idx="3"/>
        </xdr:cNvCxnSpPr>
      </xdr:nvCxnSpPr>
      <xdr:spPr>
        <a:xfrm>
          <a:off x="9582150" y="669925"/>
          <a:ext cx="1606550" cy="1400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1765300</xdr:colOff>
      <xdr:row>4</xdr:row>
      <xdr:rowOff>38100</xdr:rowOff>
    </xdr:from>
    <xdr:to>
      <xdr:col>10</xdr:col>
      <xdr:colOff>95250</xdr:colOff>
      <xdr:row>5</xdr:row>
      <xdr:rowOff>12700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4A1D6093-FB45-480D-A500-F61B9EE50965}"/>
            </a:ext>
          </a:extLst>
        </xdr:cNvPr>
        <xdr:cNvSpPr/>
      </xdr:nvSpPr>
      <xdr:spPr>
        <a:xfrm>
          <a:off x="5378450" y="806450"/>
          <a:ext cx="4203700" cy="190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95250</xdr:colOff>
      <xdr:row>4</xdr:row>
      <xdr:rowOff>133350</xdr:rowOff>
    </xdr:from>
    <xdr:to>
      <xdr:col>12</xdr:col>
      <xdr:colOff>38100</xdr:colOff>
      <xdr:row>11</xdr:row>
      <xdr:rowOff>107950</xdr:rowOff>
    </xdr:to>
    <xdr:cxnSp macro="">
      <xdr:nvCxnSpPr>
        <xdr:cNvPr id="7" name="直線單箭頭接點 6">
          <a:extLst>
            <a:ext uri="{FF2B5EF4-FFF2-40B4-BE49-F238E27FC236}">
              <a16:creationId xmlns:a16="http://schemas.microsoft.com/office/drawing/2014/main" id="{D8D0933D-2DB9-4C87-B107-106D7875B255}"/>
            </a:ext>
          </a:extLst>
        </xdr:cNvPr>
        <xdr:cNvCxnSpPr>
          <a:stCxn id="6" idx="3"/>
        </xdr:cNvCxnSpPr>
      </xdr:nvCxnSpPr>
      <xdr:spPr>
        <a:xfrm>
          <a:off x="9582150" y="901700"/>
          <a:ext cx="1568450" cy="13779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1765300</xdr:colOff>
      <xdr:row>4</xdr:row>
      <xdr:rowOff>209550</xdr:rowOff>
    </xdr:from>
    <xdr:to>
      <xdr:col>10</xdr:col>
      <xdr:colOff>95250</xdr:colOff>
      <xdr:row>5</xdr:row>
      <xdr:rowOff>184150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CB25B210-AF09-43D7-8335-3ABED24ADE4E}"/>
            </a:ext>
          </a:extLst>
        </xdr:cNvPr>
        <xdr:cNvSpPr/>
      </xdr:nvSpPr>
      <xdr:spPr>
        <a:xfrm>
          <a:off x="5378450" y="977900"/>
          <a:ext cx="4203700" cy="190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95250</xdr:colOff>
      <xdr:row>5</xdr:row>
      <xdr:rowOff>88900</xdr:rowOff>
    </xdr:from>
    <xdr:to>
      <xdr:col>12</xdr:col>
      <xdr:colOff>76200</xdr:colOff>
      <xdr:row>12</xdr:row>
      <xdr:rowOff>146050</xdr:rowOff>
    </xdr:to>
    <xdr:cxnSp macro="">
      <xdr:nvCxnSpPr>
        <xdr:cNvPr id="11" name="直線單箭頭接點 10">
          <a:extLst>
            <a:ext uri="{FF2B5EF4-FFF2-40B4-BE49-F238E27FC236}">
              <a16:creationId xmlns:a16="http://schemas.microsoft.com/office/drawing/2014/main" id="{0A216765-D1FB-48EC-9F97-F8816A216072}"/>
            </a:ext>
          </a:extLst>
        </xdr:cNvPr>
        <xdr:cNvCxnSpPr>
          <a:stCxn id="10" idx="3"/>
        </xdr:cNvCxnSpPr>
      </xdr:nvCxnSpPr>
      <xdr:spPr>
        <a:xfrm>
          <a:off x="9582150" y="1073150"/>
          <a:ext cx="1606550" cy="144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1758950</xdr:colOff>
      <xdr:row>6</xdr:row>
      <xdr:rowOff>0</xdr:rowOff>
    </xdr:from>
    <xdr:to>
      <xdr:col>10</xdr:col>
      <xdr:colOff>88900</xdr:colOff>
      <xdr:row>6</xdr:row>
      <xdr:rowOff>190500</xdr:rowOff>
    </xdr:to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7521DF57-D93F-4930-BD5D-39A8AA24E350}"/>
            </a:ext>
          </a:extLst>
        </xdr:cNvPr>
        <xdr:cNvSpPr/>
      </xdr:nvSpPr>
      <xdr:spPr>
        <a:xfrm>
          <a:off x="5372100" y="1181100"/>
          <a:ext cx="4203700" cy="190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88900</xdr:colOff>
      <xdr:row>6</xdr:row>
      <xdr:rowOff>95250</xdr:rowOff>
    </xdr:from>
    <xdr:to>
      <xdr:col>12</xdr:col>
      <xdr:colOff>12700</xdr:colOff>
      <xdr:row>13</xdr:row>
      <xdr:rowOff>120650</xdr:rowOff>
    </xdr:to>
    <xdr:cxnSp macro="">
      <xdr:nvCxnSpPr>
        <xdr:cNvPr id="15" name="直線單箭頭接點 14">
          <a:extLst>
            <a:ext uri="{FF2B5EF4-FFF2-40B4-BE49-F238E27FC236}">
              <a16:creationId xmlns:a16="http://schemas.microsoft.com/office/drawing/2014/main" id="{BDABBD4E-716F-445A-B194-A479E95B2EDF}"/>
            </a:ext>
          </a:extLst>
        </xdr:cNvPr>
        <xdr:cNvCxnSpPr>
          <a:stCxn id="14" idx="3"/>
        </xdr:cNvCxnSpPr>
      </xdr:nvCxnSpPr>
      <xdr:spPr>
        <a:xfrm>
          <a:off x="9575800" y="1276350"/>
          <a:ext cx="1549400" cy="1409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3</xdr:row>
      <xdr:rowOff>139700</xdr:rowOff>
    </xdr:from>
    <xdr:to>
      <xdr:col>2</xdr:col>
      <xdr:colOff>1524000</xdr:colOff>
      <xdr:row>7</xdr:row>
      <xdr:rowOff>31750</xdr:rowOff>
    </xdr:to>
    <xdr:sp macro="" textlink="">
      <xdr:nvSpPr>
        <xdr:cNvPr id="18" name="矩形 17">
          <a:extLst>
            <a:ext uri="{FF2B5EF4-FFF2-40B4-BE49-F238E27FC236}">
              <a16:creationId xmlns:a16="http://schemas.microsoft.com/office/drawing/2014/main" id="{DF5A6C5D-0172-42B5-8AAD-57601369D59A}"/>
            </a:ext>
          </a:extLst>
        </xdr:cNvPr>
        <xdr:cNvSpPr/>
      </xdr:nvSpPr>
      <xdr:spPr>
        <a:xfrm>
          <a:off x="2070100" y="711200"/>
          <a:ext cx="1517650" cy="698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1524000</xdr:colOff>
      <xdr:row>5</xdr:row>
      <xdr:rowOff>76200</xdr:rowOff>
    </xdr:from>
    <xdr:to>
      <xdr:col>12</xdr:col>
      <xdr:colOff>19050</xdr:colOff>
      <xdr:row>9</xdr:row>
      <xdr:rowOff>139700</xdr:rowOff>
    </xdr:to>
    <xdr:cxnSp macro="">
      <xdr:nvCxnSpPr>
        <xdr:cNvPr id="19" name="直線單箭頭接點 18">
          <a:extLst>
            <a:ext uri="{FF2B5EF4-FFF2-40B4-BE49-F238E27FC236}">
              <a16:creationId xmlns:a16="http://schemas.microsoft.com/office/drawing/2014/main" id="{DD1C546B-D812-417D-829A-29A7BB7F7BEA}"/>
            </a:ext>
          </a:extLst>
        </xdr:cNvPr>
        <xdr:cNvCxnSpPr>
          <a:stCxn id="18" idx="3"/>
        </xdr:cNvCxnSpPr>
      </xdr:nvCxnSpPr>
      <xdr:spPr>
        <a:xfrm>
          <a:off x="3587750" y="1060450"/>
          <a:ext cx="7543800" cy="838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571500</xdr:colOff>
      <xdr:row>3</xdr:row>
      <xdr:rowOff>146050</xdr:rowOff>
    </xdr:from>
    <xdr:to>
      <xdr:col>2</xdr:col>
      <xdr:colOff>6350</xdr:colOff>
      <xdr:row>7</xdr:row>
      <xdr:rowOff>38100</xdr:rowOff>
    </xdr:to>
    <xdr:sp macro="" textlink="">
      <xdr:nvSpPr>
        <xdr:cNvPr id="23" name="矩形 22">
          <a:extLst>
            <a:ext uri="{FF2B5EF4-FFF2-40B4-BE49-F238E27FC236}">
              <a16:creationId xmlns:a16="http://schemas.microsoft.com/office/drawing/2014/main" id="{15A775E5-941C-4DD5-A65C-89EC46D76B29}"/>
            </a:ext>
          </a:extLst>
        </xdr:cNvPr>
        <xdr:cNvSpPr/>
      </xdr:nvSpPr>
      <xdr:spPr>
        <a:xfrm>
          <a:off x="571500" y="717550"/>
          <a:ext cx="1498600" cy="698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6350</xdr:colOff>
      <xdr:row>5</xdr:row>
      <xdr:rowOff>82550</xdr:rowOff>
    </xdr:from>
    <xdr:to>
      <xdr:col>12</xdr:col>
      <xdr:colOff>25400</xdr:colOff>
      <xdr:row>8</xdr:row>
      <xdr:rowOff>133350</xdr:rowOff>
    </xdr:to>
    <xdr:cxnSp macro="">
      <xdr:nvCxnSpPr>
        <xdr:cNvPr id="24" name="直線單箭頭接點 23">
          <a:extLst>
            <a:ext uri="{FF2B5EF4-FFF2-40B4-BE49-F238E27FC236}">
              <a16:creationId xmlns:a16="http://schemas.microsoft.com/office/drawing/2014/main" id="{C6AEE14C-7697-4EBA-A047-04A108EF148F}"/>
            </a:ext>
          </a:extLst>
        </xdr:cNvPr>
        <xdr:cNvCxnSpPr>
          <a:stCxn id="23" idx="3"/>
        </xdr:cNvCxnSpPr>
      </xdr:nvCxnSpPr>
      <xdr:spPr>
        <a:xfrm>
          <a:off x="2070100" y="1066800"/>
          <a:ext cx="906780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</xdr:row>
      <xdr:rowOff>139700</xdr:rowOff>
    </xdr:from>
    <xdr:to>
      <xdr:col>1</xdr:col>
      <xdr:colOff>6350</xdr:colOff>
      <xdr:row>7</xdr:row>
      <xdr:rowOff>31750</xdr:rowOff>
    </xdr:to>
    <xdr:sp macro="" textlink="">
      <xdr:nvSpPr>
        <xdr:cNvPr id="29" name="矩形 28">
          <a:extLst>
            <a:ext uri="{FF2B5EF4-FFF2-40B4-BE49-F238E27FC236}">
              <a16:creationId xmlns:a16="http://schemas.microsoft.com/office/drawing/2014/main" id="{95B0893B-6EB3-4BBD-A103-6B04776E6123}"/>
            </a:ext>
          </a:extLst>
        </xdr:cNvPr>
        <xdr:cNvSpPr/>
      </xdr:nvSpPr>
      <xdr:spPr>
        <a:xfrm>
          <a:off x="0" y="711200"/>
          <a:ext cx="584200" cy="698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6350</xdr:colOff>
      <xdr:row>5</xdr:row>
      <xdr:rowOff>76200</xdr:rowOff>
    </xdr:from>
    <xdr:to>
      <xdr:col>12</xdr:col>
      <xdr:colOff>6350</xdr:colOff>
      <xdr:row>7</xdr:row>
      <xdr:rowOff>114300</xdr:rowOff>
    </xdr:to>
    <xdr:cxnSp macro="">
      <xdr:nvCxnSpPr>
        <xdr:cNvPr id="31" name="直線單箭頭接點 30">
          <a:extLst>
            <a:ext uri="{FF2B5EF4-FFF2-40B4-BE49-F238E27FC236}">
              <a16:creationId xmlns:a16="http://schemas.microsoft.com/office/drawing/2014/main" id="{63974A6D-084A-4B8E-8636-C89F1CED8905}"/>
            </a:ext>
          </a:extLst>
        </xdr:cNvPr>
        <xdr:cNvCxnSpPr>
          <a:stCxn id="29" idx="3"/>
        </xdr:cNvCxnSpPr>
      </xdr:nvCxnSpPr>
      <xdr:spPr>
        <a:xfrm>
          <a:off x="584200" y="1060450"/>
          <a:ext cx="10534650" cy="431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18144</xdr:colOff>
      <xdr:row>20</xdr:row>
      <xdr:rowOff>72572</xdr:rowOff>
    </xdr:from>
    <xdr:to>
      <xdr:col>3</xdr:col>
      <xdr:colOff>27214</xdr:colOff>
      <xdr:row>21</xdr:row>
      <xdr:rowOff>145144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1A89A95B-07A4-4590-A19E-CBC240539E55}"/>
            </a:ext>
          </a:extLst>
        </xdr:cNvPr>
        <xdr:cNvSpPr/>
      </xdr:nvSpPr>
      <xdr:spPr>
        <a:xfrm>
          <a:off x="2159001" y="4091215"/>
          <a:ext cx="625927" cy="27214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18144</xdr:colOff>
      <xdr:row>11</xdr:row>
      <xdr:rowOff>154214</xdr:rowOff>
    </xdr:from>
    <xdr:to>
      <xdr:col>4</xdr:col>
      <xdr:colOff>45358</xdr:colOff>
      <xdr:row>13</xdr:row>
      <xdr:rowOff>9072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59AA5EA8-792B-44E5-8BEB-1EE201FD409E}"/>
            </a:ext>
          </a:extLst>
        </xdr:cNvPr>
        <xdr:cNvSpPr/>
      </xdr:nvSpPr>
      <xdr:spPr>
        <a:xfrm>
          <a:off x="2775858" y="2376714"/>
          <a:ext cx="2159000" cy="254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36286</xdr:colOff>
      <xdr:row>11</xdr:row>
      <xdr:rowOff>163286</xdr:rowOff>
    </xdr:from>
    <xdr:to>
      <xdr:col>5</xdr:col>
      <xdr:colOff>36286</xdr:colOff>
      <xdr:row>13</xdr:row>
      <xdr:rowOff>0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F5E9FA39-38C2-4EFC-ABC4-B915B499A970}"/>
            </a:ext>
          </a:extLst>
        </xdr:cNvPr>
        <xdr:cNvSpPr/>
      </xdr:nvSpPr>
      <xdr:spPr>
        <a:xfrm>
          <a:off x="4925786" y="2385786"/>
          <a:ext cx="1841500" cy="23585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26</xdr:col>
      <xdr:colOff>562428</xdr:colOff>
      <xdr:row>11</xdr:row>
      <xdr:rowOff>190502</xdr:rowOff>
    </xdr:from>
    <xdr:to>
      <xdr:col>33</xdr:col>
      <xdr:colOff>526142</xdr:colOff>
      <xdr:row>13</xdr:row>
      <xdr:rowOff>9073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8802E608-D3E8-4641-B7EA-964EAA91F3CF}"/>
            </a:ext>
          </a:extLst>
        </xdr:cNvPr>
        <xdr:cNvSpPr/>
      </xdr:nvSpPr>
      <xdr:spPr>
        <a:xfrm>
          <a:off x="25572357" y="2413002"/>
          <a:ext cx="4426856" cy="21771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26</xdr:col>
      <xdr:colOff>562428</xdr:colOff>
      <xdr:row>8</xdr:row>
      <xdr:rowOff>0</xdr:rowOff>
    </xdr:from>
    <xdr:to>
      <xdr:col>43</xdr:col>
      <xdr:colOff>54429</xdr:colOff>
      <xdr:row>8</xdr:row>
      <xdr:rowOff>163285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2D999F66-F689-4ADF-8128-CE896B428413}"/>
            </a:ext>
          </a:extLst>
        </xdr:cNvPr>
        <xdr:cNvSpPr/>
      </xdr:nvSpPr>
      <xdr:spPr>
        <a:xfrm>
          <a:off x="25599571" y="1623786"/>
          <a:ext cx="8690429" cy="16328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73</xdr:col>
      <xdr:colOff>9072</xdr:colOff>
      <xdr:row>7</xdr:row>
      <xdr:rowOff>190500</xdr:rowOff>
    </xdr:from>
    <xdr:to>
      <xdr:col>83</xdr:col>
      <xdr:colOff>181429</xdr:colOff>
      <xdr:row>9</xdr:row>
      <xdr:rowOff>9071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6A9EDFDF-A527-47EE-AD18-4F5FDC143DE6}"/>
            </a:ext>
          </a:extLst>
        </xdr:cNvPr>
        <xdr:cNvSpPr/>
      </xdr:nvSpPr>
      <xdr:spPr>
        <a:xfrm>
          <a:off x="50446215" y="1614714"/>
          <a:ext cx="4426857" cy="21771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317500</xdr:colOff>
      <xdr:row>12</xdr:row>
      <xdr:rowOff>1</xdr:rowOff>
    </xdr:from>
    <xdr:to>
      <xdr:col>79</xdr:col>
      <xdr:colOff>81643</xdr:colOff>
      <xdr:row>12</xdr:row>
      <xdr:rowOff>181429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9DC0BAA7-A5D1-4ED4-93DA-F59580A22CE6}"/>
            </a:ext>
          </a:extLst>
        </xdr:cNvPr>
        <xdr:cNvSpPr/>
      </xdr:nvSpPr>
      <xdr:spPr>
        <a:xfrm>
          <a:off x="50428071" y="2422072"/>
          <a:ext cx="2503715" cy="18142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86</xdr:col>
      <xdr:colOff>399142</xdr:colOff>
      <xdr:row>11</xdr:row>
      <xdr:rowOff>181428</xdr:rowOff>
    </xdr:from>
    <xdr:to>
      <xdr:col>92</xdr:col>
      <xdr:colOff>517071</xdr:colOff>
      <xdr:row>13</xdr:row>
      <xdr:rowOff>9071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E9C62257-3429-4496-A95F-036A2F31F295}"/>
            </a:ext>
          </a:extLst>
        </xdr:cNvPr>
        <xdr:cNvSpPr/>
      </xdr:nvSpPr>
      <xdr:spPr>
        <a:xfrm>
          <a:off x="56242856" y="2403928"/>
          <a:ext cx="3156858" cy="22678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86</xdr:col>
      <xdr:colOff>399142</xdr:colOff>
      <xdr:row>8</xdr:row>
      <xdr:rowOff>0</xdr:rowOff>
    </xdr:from>
    <xdr:to>
      <xdr:col>103</xdr:col>
      <xdr:colOff>27214</xdr:colOff>
      <xdr:row>9</xdr:row>
      <xdr:rowOff>9072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CC9D832A-48C1-4B19-B90D-BD69C14671E4}"/>
            </a:ext>
          </a:extLst>
        </xdr:cNvPr>
        <xdr:cNvSpPr/>
      </xdr:nvSpPr>
      <xdr:spPr>
        <a:xfrm>
          <a:off x="56242856" y="1623786"/>
          <a:ext cx="8817429" cy="20864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27214</xdr:colOff>
      <xdr:row>10</xdr:row>
      <xdr:rowOff>54429</xdr:rowOff>
    </xdr:to>
    <xdr:sp macro="" textlink="">
      <xdr:nvSpPr>
        <xdr:cNvPr id="11" name="矩形 10">
          <a:extLst>
            <a:ext uri="{FF2B5EF4-FFF2-40B4-BE49-F238E27FC236}">
              <a16:creationId xmlns:a16="http://schemas.microsoft.com/office/drawing/2014/main" id="{49261B6D-C4A3-4879-AE42-2D6AB5D6B222}"/>
            </a:ext>
          </a:extLst>
        </xdr:cNvPr>
        <xdr:cNvSpPr/>
      </xdr:nvSpPr>
      <xdr:spPr>
        <a:xfrm>
          <a:off x="2757714" y="1823357"/>
          <a:ext cx="2159000" cy="254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18143</xdr:colOff>
      <xdr:row>8</xdr:row>
      <xdr:rowOff>190501</xdr:rowOff>
    </xdr:from>
    <xdr:to>
      <xdr:col>4</xdr:col>
      <xdr:colOff>1814286</xdr:colOff>
      <xdr:row>10</xdr:row>
      <xdr:rowOff>9072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54110C2A-6769-46D4-A06B-9790B52E674D}"/>
            </a:ext>
          </a:extLst>
        </xdr:cNvPr>
        <xdr:cNvSpPr/>
      </xdr:nvSpPr>
      <xdr:spPr>
        <a:xfrm>
          <a:off x="4907643" y="1814287"/>
          <a:ext cx="1796143" cy="21771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344714</xdr:colOff>
      <xdr:row>9</xdr:row>
      <xdr:rowOff>18143</xdr:rowOff>
    </xdr:from>
    <xdr:to>
      <xdr:col>2</xdr:col>
      <xdr:colOff>607784</xdr:colOff>
      <xdr:row>10</xdr:row>
      <xdr:rowOff>90714</xdr:rowOff>
    </xdr:to>
    <xdr:sp macro="" textlink="">
      <xdr:nvSpPr>
        <xdr:cNvPr id="13" name="矩形 12">
          <a:extLst>
            <a:ext uri="{FF2B5EF4-FFF2-40B4-BE49-F238E27FC236}">
              <a16:creationId xmlns:a16="http://schemas.microsoft.com/office/drawing/2014/main" id="{BBED4FD1-04BA-4D26-93A7-3B42B65611AF}"/>
            </a:ext>
          </a:extLst>
        </xdr:cNvPr>
        <xdr:cNvSpPr/>
      </xdr:nvSpPr>
      <xdr:spPr>
        <a:xfrm>
          <a:off x="2122714" y="1841500"/>
          <a:ext cx="625927" cy="27214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724647</xdr:colOff>
      <xdr:row>26</xdr:row>
      <xdr:rowOff>14942</xdr:rowOff>
    </xdr:from>
    <xdr:to>
      <xdr:col>13</xdr:col>
      <xdr:colOff>7471</xdr:colOff>
      <xdr:row>26</xdr:row>
      <xdr:rowOff>186765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5CDDEBC2-AD76-453F-BAF5-9E83E263E2A6}"/>
            </a:ext>
          </a:extLst>
        </xdr:cNvPr>
        <xdr:cNvSpPr/>
      </xdr:nvSpPr>
      <xdr:spPr>
        <a:xfrm>
          <a:off x="4512235" y="5109883"/>
          <a:ext cx="4273177" cy="17182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664882</xdr:colOff>
      <xdr:row>26</xdr:row>
      <xdr:rowOff>22412</xdr:rowOff>
    </xdr:from>
    <xdr:to>
      <xdr:col>21</xdr:col>
      <xdr:colOff>44824</xdr:colOff>
      <xdr:row>26</xdr:row>
      <xdr:rowOff>194235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7045A80-9C80-433D-8FC6-74A6FE806B3C}"/>
            </a:ext>
          </a:extLst>
        </xdr:cNvPr>
        <xdr:cNvSpPr/>
      </xdr:nvSpPr>
      <xdr:spPr>
        <a:xfrm>
          <a:off x="8740588" y="5117353"/>
          <a:ext cx="4273177" cy="17182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649941</xdr:colOff>
      <xdr:row>1</xdr:row>
      <xdr:rowOff>7470</xdr:rowOff>
    </xdr:from>
    <xdr:to>
      <xdr:col>21</xdr:col>
      <xdr:colOff>29883</xdr:colOff>
      <xdr:row>1</xdr:row>
      <xdr:rowOff>179293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C24104AB-DAA2-4A56-BBE5-EDDDADFE9465}"/>
            </a:ext>
          </a:extLst>
        </xdr:cNvPr>
        <xdr:cNvSpPr/>
      </xdr:nvSpPr>
      <xdr:spPr>
        <a:xfrm>
          <a:off x="8725647" y="209176"/>
          <a:ext cx="4273177" cy="17182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642470</xdr:colOff>
      <xdr:row>1</xdr:row>
      <xdr:rowOff>186765</xdr:rowOff>
    </xdr:from>
    <xdr:to>
      <xdr:col>18</xdr:col>
      <xdr:colOff>485588</xdr:colOff>
      <xdr:row>2</xdr:row>
      <xdr:rowOff>179294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C1F1D164-0919-4E0E-8159-FEDA86912C27}"/>
            </a:ext>
          </a:extLst>
        </xdr:cNvPr>
        <xdr:cNvSpPr/>
      </xdr:nvSpPr>
      <xdr:spPr>
        <a:xfrm>
          <a:off x="8718176" y="388471"/>
          <a:ext cx="3077883" cy="19423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13</xdr:col>
      <xdr:colOff>7471</xdr:colOff>
      <xdr:row>26</xdr:row>
      <xdr:rowOff>186765</xdr:rowOff>
    </xdr:from>
    <xdr:to>
      <xdr:col>19</xdr:col>
      <xdr:colOff>52295</xdr:colOff>
      <xdr:row>27</xdr:row>
      <xdr:rowOff>179294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72EF0D30-AB60-4E29-AC0C-3463E70B14B0}"/>
            </a:ext>
          </a:extLst>
        </xdr:cNvPr>
        <xdr:cNvSpPr/>
      </xdr:nvSpPr>
      <xdr:spPr>
        <a:xfrm>
          <a:off x="8785412" y="5281706"/>
          <a:ext cx="3077883" cy="19423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735106</xdr:colOff>
      <xdr:row>27</xdr:row>
      <xdr:rowOff>17931</xdr:rowOff>
    </xdr:from>
    <xdr:to>
      <xdr:col>10</xdr:col>
      <xdr:colOff>481106</xdr:colOff>
      <xdr:row>28</xdr:row>
      <xdr:rowOff>10460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EC9A11F3-0EFA-488F-8D9E-B0201F38F527}"/>
            </a:ext>
          </a:extLst>
        </xdr:cNvPr>
        <xdr:cNvSpPr/>
      </xdr:nvSpPr>
      <xdr:spPr>
        <a:xfrm>
          <a:off x="4522694" y="5314578"/>
          <a:ext cx="3070412" cy="19423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1740647</xdr:colOff>
      <xdr:row>1</xdr:row>
      <xdr:rowOff>186765</xdr:rowOff>
    </xdr:from>
    <xdr:to>
      <xdr:col>4</xdr:col>
      <xdr:colOff>67236</xdr:colOff>
      <xdr:row>3</xdr:row>
      <xdr:rowOff>7470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DC920103-4036-40D5-9541-02DBF54D5F72}"/>
            </a:ext>
          </a:extLst>
        </xdr:cNvPr>
        <xdr:cNvSpPr/>
      </xdr:nvSpPr>
      <xdr:spPr>
        <a:xfrm>
          <a:off x="2353235" y="388471"/>
          <a:ext cx="1501589" cy="22411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605118</xdr:colOff>
      <xdr:row>1</xdr:row>
      <xdr:rowOff>194235</xdr:rowOff>
    </xdr:from>
    <xdr:to>
      <xdr:col>1</xdr:col>
      <xdr:colOff>1703294</xdr:colOff>
      <xdr:row>2</xdr:row>
      <xdr:rowOff>194235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F9D23B36-BFF6-422E-B09C-72B8457410D6}"/>
            </a:ext>
          </a:extLst>
        </xdr:cNvPr>
        <xdr:cNvSpPr/>
      </xdr:nvSpPr>
      <xdr:spPr>
        <a:xfrm>
          <a:off x="605118" y="395941"/>
          <a:ext cx="1710764" cy="20170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14940</xdr:rowOff>
    </xdr:from>
    <xdr:to>
      <xdr:col>1</xdr:col>
      <xdr:colOff>14941</xdr:colOff>
      <xdr:row>3</xdr:row>
      <xdr:rowOff>7470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CA45E8EE-DDD3-4B82-A1F5-D5F6A8B4DEA8}"/>
            </a:ext>
          </a:extLst>
        </xdr:cNvPr>
        <xdr:cNvSpPr/>
      </xdr:nvSpPr>
      <xdr:spPr>
        <a:xfrm>
          <a:off x="0" y="418352"/>
          <a:ext cx="627529" cy="19423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5nas01\dabajen\An\GIO\open%20POs\Accrual%20JV\Jan06\BF%202154784%20AN%20024%20Jan-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mkor-my.sharepoint.com/An/GIO/open%20POs/Accrual%20JV/Jan06/BF%202154784%20AN%20024%20Jan-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B3"/>
  <sheetViews>
    <sheetView showGridLines="0" workbookViewId="0">
      <selection activeCell="G11" sqref="G11"/>
    </sheetView>
  </sheetViews>
  <sheetFormatPr defaultRowHeight="14.5" x14ac:dyDescent="0.3"/>
  <cols>
    <col min="1" max="1" width="8.09765625" bestFit="1" customWidth="1"/>
  </cols>
  <sheetData>
    <row r="1" spans="1:2" x14ac:dyDescent="0.3">
      <c r="A1" s="1" t="b">
        <v>0</v>
      </c>
    </row>
    <row r="3" spans="1:2" x14ac:dyDescent="0.3">
      <c r="B3" t="e" vm="1">
        <v>#VALUE!</v>
      </c>
    </row>
  </sheetData>
  <phoneticPr fontId="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Check Box 2">
              <controlPr defaultSize="0" autoFill="0" autoLine="0" autoPict="0">
                <anchor moveWithCells="1">
                  <from>
                    <xdr:col>0</xdr:col>
                    <xdr:colOff>146050</xdr:colOff>
                    <xdr:row>2</xdr:row>
                    <xdr:rowOff>69850</xdr:rowOff>
                  </from>
                  <to>
                    <xdr:col>2</xdr:col>
                    <xdr:colOff>260350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N133"/>
  <sheetViews>
    <sheetView topLeftCell="I1" zoomScaleNormal="100" workbookViewId="0">
      <selection activeCell="N7" sqref="N7"/>
    </sheetView>
  </sheetViews>
  <sheetFormatPr defaultRowHeight="14.5" x14ac:dyDescent="0.3"/>
  <cols>
    <col min="1" max="1" width="9.09765625" bestFit="1" customWidth="1"/>
    <col min="2" max="2" width="23.3984375" bestFit="1" customWidth="1"/>
    <col min="3" max="3" width="24.3984375" bestFit="1" customWidth="1"/>
    <col min="4" max="4" width="28.296875" bestFit="1" customWidth="1"/>
    <col min="5" max="10" width="10.69921875" customWidth="1"/>
    <col min="11" max="11" width="16.8984375" customWidth="1"/>
    <col min="13" max="13" width="26.3984375" bestFit="1" customWidth="1"/>
    <col min="14" max="14" width="124.09765625" bestFit="1" customWidth="1"/>
  </cols>
  <sheetData>
    <row r="2" spans="1:14" ht="15" x14ac:dyDescent="0.35">
      <c r="A2" s="223"/>
      <c r="M2" s="233" t="s">
        <v>0</v>
      </c>
    </row>
    <row r="3" spans="1:14" ht="15.5" x14ac:dyDescent="0.3">
      <c r="A3" s="333" t="s">
        <v>1</v>
      </c>
      <c r="B3" s="333" t="s">
        <v>2</v>
      </c>
      <c r="C3" s="333" t="s">
        <v>3</v>
      </c>
      <c r="D3" s="333" t="s">
        <v>4</v>
      </c>
      <c r="E3" s="333" t="s">
        <v>5</v>
      </c>
      <c r="F3" s="337"/>
      <c r="G3" s="337"/>
      <c r="H3" s="337"/>
      <c r="I3" s="337"/>
      <c r="J3" s="338"/>
      <c r="K3" s="333" t="s">
        <v>6</v>
      </c>
      <c r="M3">
        <v>1</v>
      </c>
      <c r="N3" t="s">
        <v>7</v>
      </c>
    </row>
    <row r="4" spans="1:14" ht="15.5" x14ac:dyDescent="0.3">
      <c r="A4" s="334"/>
      <c r="B4" s="334"/>
      <c r="C4" s="334"/>
      <c r="D4" s="334"/>
      <c r="E4" s="224" t="s">
        <v>8</v>
      </c>
      <c r="F4" s="224" t="s">
        <v>9</v>
      </c>
      <c r="G4" s="224" t="s">
        <v>10</v>
      </c>
      <c r="H4" s="224" t="s">
        <v>11</v>
      </c>
      <c r="I4" s="224" t="s">
        <v>12</v>
      </c>
      <c r="J4" s="224" t="s">
        <v>13</v>
      </c>
      <c r="K4" s="334"/>
      <c r="M4">
        <v>2</v>
      </c>
      <c r="N4" t="s">
        <v>14</v>
      </c>
    </row>
    <row r="5" spans="1:14" ht="17" x14ac:dyDescent="0.4">
      <c r="A5" s="335" t="s">
        <v>15</v>
      </c>
      <c r="B5" s="335" t="s">
        <v>16</v>
      </c>
      <c r="C5" s="335" t="s">
        <v>17</v>
      </c>
      <c r="D5" s="225" t="s">
        <v>18</v>
      </c>
      <c r="E5" s="226">
        <v>3</v>
      </c>
      <c r="F5" s="226">
        <v>3</v>
      </c>
      <c r="G5" s="226">
        <v>3</v>
      </c>
      <c r="H5" s="226">
        <v>3</v>
      </c>
      <c r="I5" s="226">
        <v>3</v>
      </c>
      <c r="J5" s="226">
        <v>3</v>
      </c>
      <c r="K5" s="339"/>
      <c r="M5">
        <v>3</v>
      </c>
      <c r="N5" t="s">
        <v>19</v>
      </c>
    </row>
    <row r="6" spans="1:14" ht="15.5" x14ac:dyDescent="0.35">
      <c r="A6" s="336"/>
      <c r="B6" s="336"/>
      <c r="C6" s="336"/>
      <c r="D6" s="225" t="s">
        <v>20</v>
      </c>
      <c r="E6" s="226">
        <v>2.6</v>
      </c>
      <c r="F6" s="226">
        <v>5.2</v>
      </c>
      <c r="G6" s="226">
        <v>3.8</v>
      </c>
      <c r="H6" s="226">
        <v>1.1000000000000001</v>
      </c>
      <c r="I6" s="226">
        <v>0.9</v>
      </c>
      <c r="J6" s="226">
        <v>0.9</v>
      </c>
      <c r="K6" s="340"/>
      <c r="M6">
        <v>4</v>
      </c>
      <c r="N6" t="s">
        <v>356</v>
      </c>
    </row>
    <row r="7" spans="1:14" ht="15.5" x14ac:dyDescent="0.35">
      <c r="A7" s="334"/>
      <c r="B7" s="334"/>
      <c r="C7" s="334"/>
      <c r="D7" s="225" t="s">
        <v>21</v>
      </c>
      <c r="E7" s="226">
        <v>0.3</v>
      </c>
      <c r="F7" s="227">
        <v>-2.2999999999999998</v>
      </c>
      <c r="G7" s="227">
        <v>-0.9</v>
      </c>
      <c r="H7" s="226">
        <v>1.8</v>
      </c>
      <c r="I7" s="226">
        <v>2</v>
      </c>
      <c r="J7" s="226">
        <v>2</v>
      </c>
      <c r="K7" s="341"/>
      <c r="M7" s="233" t="s">
        <v>22</v>
      </c>
    </row>
    <row r="8" spans="1:14" x14ac:dyDescent="0.3">
      <c r="M8" t="s">
        <v>23</v>
      </c>
      <c r="N8" t="s">
        <v>24</v>
      </c>
    </row>
    <row r="9" spans="1:14" ht="15.5" x14ac:dyDescent="0.3">
      <c r="A9" s="333" t="s">
        <v>1</v>
      </c>
      <c r="B9" s="333" t="s">
        <v>2</v>
      </c>
      <c r="C9" s="333" t="s">
        <v>3</v>
      </c>
      <c r="D9" s="333" t="s">
        <v>4</v>
      </c>
      <c r="E9" s="333" t="s">
        <v>25</v>
      </c>
      <c r="F9" s="337"/>
      <c r="G9" s="337"/>
      <c r="H9" s="337"/>
      <c r="I9" s="337"/>
      <c r="J9" s="338"/>
      <c r="K9" s="333" t="s">
        <v>6</v>
      </c>
      <c r="M9" t="s">
        <v>26</v>
      </c>
      <c r="N9" t="s">
        <v>27</v>
      </c>
    </row>
    <row r="10" spans="1:14" ht="15.5" x14ac:dyDescent="0.3">
      <c r="A10" s="334"/>
      <c r="B10" s="334"/>
      <c r="C10" s="334"/>
      <c r="D10" s="334"/>
      <c r="E10" s="224" t="s">
        <v>8</v>
      </c>
      <c r="F10" s="224" t="s">
        <v>9</v>
      </c>
      <c r="G10" s="224" t="s">
        <v>10</v>
      </c>
      <c r="H10" s="224" t="s">
        <v>11</v>
      </c>
      <c r="I10" s="224" t="s">
        <v>12</v>
      </c>
      <c r="J10" s="224" t="s">
        <v>13</v>
      </c>
      <c r="K10" s="334"/>
      <c r="M10" t="s">
        <v>28</v>
      </c>
      <c r="N10" t="s">
        <v>29</v>
      </c>
    </row>
    <row r="11" spans="1:14" ht="17" x14ac:dyDescent="0.4">
      <c r="A11" s="335" t="s">
        <v>15</v>
      </c>
      <c r="B11" s="335" t="s">
        <v>30</v>
      </c>
      <c r="C11" s="335" t="s">
        <v>31</v>
      </c>
      <c r="D11" s="225" t="s">
        <v>32</v>
      </c>
      <c r="E11" s="226">
        <v>12</v>
      </c>
      <c r="F11" s="226">
        <v>12</v>
      </c>
      <c r="G11" s="226">
        <v>12</v>
      </c>
      <c r="H11" s="226">
        <v>13</v>
      </c>
      <c r="I11" s="226">
        <v>13</v>
      </c>
      <c r="J11" s="226">
        <v>13</v>
      </c>
      <c r="K11" s="339"/>
      <c r="M11" t="s">
        <v>33</v>
      </c>
      <c r="N11" s="236" t="s">
        <v>34</v>
      </c>
    </row>
    <row r="12" spans="1:14" ht="15.5" x14ac:dyDescent="0.35">
      <c r="A12" s="336"/>
      <c r="B12" s="336"/>
      <c r="C12" s="336"/>
      <c r="D12" s="225" t="s">
        <v>35</v>
      </c>
      <c r="E12" s="226">
        <v>10.9</v>
      </c>
      <c r="F12" s="226">
        <v>12.2</v>
      </c>
      <c r="G12" s="226">
        <v>12.6</v>
      </c>
      <c r="H12" s="226">
        <v>12.8</v>
      </c>
      <c r="I12" s="226">
        <v>12.7</v>
      </c>
      <c r="J12" s="226">
        <v>13.2</v>
      </c>
      <c r="K12" s="340"/>
      <c r="M12" t="s">
        <v>32</v>
      </c>
      <c r="N12" t="s">
        <v>36</v>
      </c>
    </row>
    <row r="13" spans="1:14" ht="15.5" x14ac:dyDescent="0.35">
      <c r="A13" s="334"/>
      <c r="B13" s="334"/>
      <c r="C13" s="334"/>
      <c r="D13" s="225" t="s">
        <v>37</v>
      </c>
      <c r="E13" s="226">
        <v>1</v>
      </c>
      <c r="F13" s="227">
        <v>-0.3</v>
      </c>
      <c r="G13" s="226">
        <v>0.3</v>
      </c>
      <c r="H13" s="226">
        <v>0.1</v>
      </c>
      <c r="I13" s="226">
        <v>0.2</v>
      </c>
      <c r="J13" s="227">
        <v>-2.2999999999999998</v>
      </c>
      <c r="K13" s="341"/>
      <c r="M13" t="s">
        <v>35</v>
      </c>
      <c r="N13" t="s">
        <v>38</v>
      </c>
    </row>
    <row r="14" spans="1:14" x14ac:dyDescent="0.3">
      <c r="M14" t="s">
        <v>37</v>
      </c>
      <c r="N14" t="s">
        <v>39</v>
      </c>
    </row>
    <row r="15" spans="1:14" ht="15.5" x14ac:dyDescent="0.3">
      <c r="A15" s="333" t="s">
        <v>1</v>
      </c>
      <c r="B15" s="333" t="s">
        <v>2</v>
      </c>
      <c r="C15" s="333" t="s">
        <v>3</v>
      </c>
      <c r="D15" s="333" t="s">
        <v>4</v>
      </c>
      <c r="E15" s="333" t="s">
        <v>25</v>
      </c>
      <c r="F15" s="337"/>
      <c r="G15" s="337"/>
      <c r="H15" s="337"/>
      <c r="I15" s="337"/>
      <c r="J15" s="338"/>
      <c r="K15" s="333" t="s">
        <v>6</v>
      </c>
      <c r="M15" t="s">
        <v>6</v>
      </c>
      <c r="N15" t="s">
        <v>40</v>
      </c>
    </row>
    <row r="16" spans="1:14" ht="15.5" x14ac:dyDescent="0.3">
      <c r="A16" s="334"/>
      <c r="B16" s="334"/>
      <c r="C16" s="334"/>
      <c r="D16" s="334"/>
      <c r="E16" s="224" t="s">
        <v>8</v>
      </c>
      <c r="F16" s="224" t="s">
        <v>9</v>
      </c>
      <c r="G16" s="224" t="s">
        <v>10</v>
      </c>
      <c r="H16" s="224" t="s">
        <v>11</v>
      </c>
      <c r="I16" s="224" t="s">
        <v>12</v>
      </c>
      <c r="J16" s="224" t="s">
        <v>13</v>
      </c>
      <c r="K16" s="334"/>
    </row>
    <row r="17" spans="1:11" ht="15.5" x14ac:dyDescent="0.35">
      <c r="A17" s="335" t="s">
        <v>15</v>
      </c>
      <c r="B17" s="335" t="s">
        <v>41</v>
      </c>
      <c r="C17" s="335" t="s">
        <v>42</v>
      </c>
      <c r="D17" s="225" t="s">
        <v>18</v>
      </c>
      <c r="E17" s="226">
        <v>33</v>
      </c>
      <c r="F17" s="226">
        <v>33</v>
      </c>
      <c r="G17" s="226">
        <v>33</v>
      </c>
      <c r="H17" s="226">
        <v>33</v>
      </c>
      <c r="I17" s="226">
        <v>33</v>
      </c>
      <c r="J17" s="226">
        <v>33</v>
      </c>
      <c r="K17" s="339"/>
    </row>
    <row r="18" spans="1:11" ht="15.5" x14ac:dyDescent="0.35">
      <c r="A18" s="336"/>
      <c r="B18" s="336"/>
      <c r="C18" s="336"/>
      <c r="D18" s="225" t="s">
        <v>20</v>
      </c>
      <c r="E18" s="226">
        <v>32.4</v>
      </c>
      <c r="F18" s="226">
        <v>32.6</v>
      </c>
      <c r="G18" s="226">
        <v>34.6</v>
      </c>
      <c r="H18" s="226">
        <v>32.299999999999997</v>
      </c>
      <c r="I18" s="226">
        <v>25.7</v>
      </c>
      <c r="J18" s="226">
        <v>28.3</v>
      </c>
      <c r="K18" s="340"/>
    </row>
    <row r="19" spans="1:11" ht="15.5" x14ac:dyDescent="0.35">
      <c r="A19" s="334"/>
      <c r="B19" s="334"/>
      <c r="C19" s="334"/>
      <c r="D19" s="225" t="s">
        <v>21</v>
      </c>
      <c r="E19" s="226">
        <v>0.5</v>
      </c>
      <c r="F19" s="226">
        <v>0.3</v>
      </c>
      <c r="G19" s="227">
        <v>-1.7</v>
      </c>
      <c r="H19" s="226">
        <v>0.6</v>
      </c>
      <c r="I19" s="226">
        <v>7.2</v>
      </c>
      <c r="J19" s="226">
        <v>4.5999999999999996</v>
      </c>
      <c r="K19" s="341"/>
    </row>
    <row r="21" spans="1:11" ht="15.5" x14ac:dyDescent="0.3">
      <c r="A21" s="333" t="s">
        <v>1</v>
      </c>
      <c r="B21" s="333" t="s">
        <v>2</v>
      </c>
      <c r="C21" s="333" t="s">
        <v>3</v>
      </c>
      <c r="D21" s="333" t="s">
        <v>4</v>
      </c>
      <c r="E21" s="333" t="s">
        <v>25</v>
      </c>
      <c r="F21" s="337"/>
      <c r="G21" s="337"/>
      <c r="H21" s="337"/>
      <c r="I21" s="337"/>
      <c r="J21" s="338"/>
      <c r="K21" s="333" t="s">
        <v>6</v>
      </c>
    </row>
    <row r="22" spans="1:11" ht="15.5" x14ac:dyDescent="0.3">
      <c r="A22" s="334"/>
      <c r="B22" s="334"/>
      <c r="C22" s="334"/>
      <c r="D22" s="334"/>
      <c r="E22" s="224" t="s">
        <v>8</v>
      </c>
      <c r="F22" s="224" t="s">
        <v>9</v>
      </c>
      <c r="G22" s="224" t="s">
        <v>10</v>
      </c>
      <c r="H22" s="224" t="s">
        <v>11</v>
      </c>
      <c r="I22" s="224" t="s">
        <v>12</v>
      </c>
      <c r="J22" s="224" t="s">
        <v>13</v>
      </c>
      <c r="K22" s="334"/>
    </row>
    <row r="23" spans="1:11" ht="15.5" x14ac:dyDescent="0.35">
      <c r="A23" s="335" t="s">
        <v>15</v>
      </c>
      <c r="B23" s="335" t="s">
        <v>43</v>
      </c>
      <c r="C23" s="335" t="s">
        <v>44</v>
      </c>
      <c r="D23" s="225" t="s">
        <v>18</v>
      </c>
      <c r="E23" s="226">
        <v>2</v>
      </c>
      <c r="F23" s="226">
        <v>2</v>
      </c>
      <c r="G23" s="226">
        <v>2</v>
      </c>
      <c r="H23" s="226">
        <v>2</v>
      </c>
      <c r="I23" s="226">
        <v>2</v>
      </c>
      <c r="J23" s="226">
        <v>2</v>
      </c>
      <c r="K23" s="339"/>
    </row>
    <row r="24" spans="1:11" ht="15.5" x14ac:dyDescent="0.35">
      <c r="A24" s="336"/>
      <c r="B24" s="336"/>
      <c r="C24" s="336"/>
      <c r="D24" s="225" t="s">
        <v>20</v>
      </c>
      <c r="E24" s="226">
        <v>0.6</v>
      </c>
      <c r="F24" s="226">
        <v>1.1000000000000001</v>
      </c>
      <c r="G24" s="226">
        <v>1.2</v>
      </c>
      <c r="H24" s="226">
        <v>2</v>
      </c>
      <c r="I24" s="226">
        <v>2.9</v>
      </c>
      <c r="J24" s="226">
        <v>4.0999999999999996</v>
      </c>
      <c r="K24" s="340"/>
    </row>
    <row r="25" spans="1:11" ht="15.5" x14ac:dyDescent="0.35">
      <c r="A25" s="334"/>
      <c r="B25" s="334"/>
      <c r="C25" s="334"/>
      <c r="D25" s="225" t="s">
        <v>21</v>
      </c>
      <c r="E25" s="226">
        <v>1.3</v>
      </c>
      <c r="F25" s="226">
        <v>0.8</v>
      </c>
      <c r="G25" s="226">
        <v>0.7</v>
      </c>
      <c r="H25" s="227">
        <v>-0.1</v>
      </c>
      <c r="I25" s="227">
        <v>-1</v>
      </c>
      <c r="J25" s="227">
        <v>-2.2000000000000002</v>
      </c>
      <c r="K25" s="341"/>
    </row>
    <row r="27" spans="1:11" ht="15.5" x14ac:dyDescent="0.3">
      <c r="A27" s="333" t="s">
        <v>1</v>
      </c>
      <c r="B27" s="333" t="s">
        <v>2</v>
      </c>
      <c r="C27" s="333" t="s">
        <v>3</v>
      </c>
      <c r="D27" s="333" t="s">
        <v>4</v>
      </c>
      <c r="E27" s="333" t="s">
        <v>25</v>
      </c>
      <c r="F27" s="337"/>
      <c r="G27" s="337"/>
      <c r="H27" s="337"/>
      <c r="I27" s="337"/>
      <c r="J27" s="338"/>
      <c r="K27" s="333" t="s">
        <v>6</v>
      </c>
    </row>
    <row r="28" spans="1:11" ht="15.5" x14ac:dyDescent="0.3">
      <c r="A28" s="334"/>
      <c r="B28" s="334"/>
      <c r="C28" s="334"/>
      <c r="D28" s="334"/>
      <c r="E28" s="224" t="s">
        <v>8</v>
      </c>
      <c r="F28" s="224" t="s">
        <v>9</v>
      </c>
      <c r="G28" s="224" t="s">
        <v>10</v>
      </c>
      <c r="H28" s="224" t="s">
        <v>11</v>
      </c>
      <c r="I28" s="224" t="s">
        <v>12</v>
      </c>
      <c r="J28" s="224" t="s">
        <v>13</v>
      </c>
      <c r="K28" s="334"/>
    </row>
    <row r="29" spans="1:11" ht="15.5" x14ac:dyDescent="0.35">
      <c r="A29" s="335" t="s">
        <v>15</v>
      </c>
      <c r="B29" s="335" t="s">
        <v>45</v>
      </c>
      <c r="C29" s="335" t="s">
        <v>46</v>
      </c>
      <c r="D29" s="225" t="s">
        <v>18</v>
      </c>
      <c r="E29" s="226">
        <v>3</v>
      </c>
      <c r="F29" s="226">
        <v>3</v>
      </c>
      <c r="G29" s="226">
        <v>3</v>
      </c>
      <c r="H29" s="226">
        <v>3</v>
      </c>
      <c r="I29" s="226">
        <v>3</v>
      </c>
      <c r="J29" s="226">
        <v>3</v>
      </c>
      <c r="K29" s="339"/>
    </row>
    <row r="30" spans="1:11" ht="15.5" x14ac:dyDescent="0.35">
      <c r="A30" s="336"/>
      <c r="B30" s="336"/>
      <c r="C30" s="336"/>
      <c r="D30" s="225" t="s">
        <v>20</v>
      </c>
      <c r="E30" s="226">
        <v>2.1</v>
      </c>
      <c r="F30" s="226">
        <v>2.9</v>
      </c>
      <c r="G30" s="226">
        <v>3.2</v>
      </c>
      <c r="H30" s="226">
        <v>3.4</v>
      </c>
      <c r="I30" s="226">
        <v>3</v>
      </c>
      <c r="J30" s="226">
        <v>4.5</v>
      </c>
      <c r="K30" s="340"/>
    </row>
    <row r="31" spans="1:11" ht="15.5" x14ac:dyDescent="0.35">
      <c r="A31" s="334"/>
      <c r="B31" s="334"/>
      <c r="C31" s="334"/>
      <c r="D31" s="225" t="s">
        <v>21</v>
      </c>
      <c r="E31" s="226">
        <v>0.8</v>
      </c>
      <c r="F31" s="226">
        <v>0</v>
      </c>
      <c r="G31" s="227">
        <v>-0.3</v>
      </c>
      <c r="H31" s="227">
        <v>-0.5</v>
      </c>
      <c r="I31" s="227">
        <v>-0.1</v>
      </c>
      <c r="J31" s="227">
        <v>-1.6</v>
      </c>
      <c r="K31" s="341"/>
    </row>
    <row r="33" spans="1:11" ht="15.5" x14ac:dyDescent="0.3">
      <c r="A33" s="333" t="s">
        <v>1</v>
      </c>
      <c r="B33" s="333" t="s">
        <v>2</v>
      </c>
      <c r="C33" s="333" t="s">
        <v>3</v>
      </c>
      <c r="D33" s="333" t="s">
        <v>4</v>
      </c>
      <c r="E33" s="333" t="s">
        <v>25</v>
      </c>
      <c r="F33" s="337"/>
      <c r="G33" s="337"/>
      <c r="H33" s="337"/>
      <c r="I33" s="337"/>
      <c r="J33" s="338"/>
      <c r="K33" s="333" t="s">
        <v>6</v>
      </c>
    </row>
    <row r="34" spans="1:11" ht="15.5" x14ac:dyDescent="0.3">
      <c r="A34" s="334"/>
      <c r="B34" s="334"/>
      <c r="C34" s="334"/>
      <c r="D34" s="334"/>
      <c r="E34" s="224" t="s">
        <v>8</v>
      </c>
      <c r="F34" s="224" t="s">
        <v>9</v>
      </c>
      <c r="G34" s="224" t="s">
        <v>10</v>
      </c>
      <c r="H34" s="224" t="s">
        <v>11</v>
      </c>
      <c r="I34" s="224" t="s">
        <v>12</v>
      </c>
      <c r="J34" s="224" t="s">
        <v>13</v>
      </c>
      <c r="K34" s="334"/>
    </row>
    <row r="35" spans="1:11" ht="15.5" x14ac:dyDescent="0.35">
      <c r="A35" s="335" t="s">
        <v>15</v>
      </c>
      <c r="B35" s="335" t="s">
        <v>47</v>
      </c>
      <c r="C35" s="335" t="s">
        <v>48</v>
      </c>
      <c r="D35" s="225" t="s">
        <v>18</v>
      </c>
      <c r="E35" s="226">
        <v>1</v>
      </c>
      <c r="F35" s="226">
        <v>1</v>
      </c>
      <c r="G35" s="226">
        <v>1</v>
      </c>
      <c r="H35" s="226">
        <v>1</v>
      </c>
      <c r="I35" s="226">
        <v>1</v>
      </c>
      <c r="J35" s="226">
        <v>1</v>
      </c>
      <c r="K35" s="339"/>
    </row>
    <row r="36" spans="1:11" ht="15.5" x14ac:dyDescent="0.35">
      <c r="A36" s="336"/>
      <c r="B36" s="336"/>
      <c r="C36" s="336"/>
      <c r="D36" s="225" t="s">
        <v>20</v>
      </c>
      <c r="E36" s="226">
        <v>0</v>
      </c>
      <c r="F36" s="226">
        <v>0.8</v>
      </c>
      <c r="G36" s="226">
        <v>1</v>
      </c>
      <c r="H36" s="226">
        <v>1</v>
      </c>
      <c r="I36" s="226">
        <v>1.2</v>
      </c>
      <c r="J36" s="226">
        <v>0.8</v>
      </c>
      <c r="K36" s="340"/>
    </row>
    <row r="37" spans="1:11" ht="15.5" x14ac:dyDescent="0.35">
      <c r="A37" s="334"/>
      <c r="B37" s="334"/>
      <c r="C37" s="334"/>
      <c r="D37" s="225" t="s">
        <v>21</v>
      </c>
      <c r="E37" s="226">
        <v>1</v>
      </c>
      <c r="F37" s="226">
        <v>0.1</v>
      </c>
      <c r="G37" s="227">
        <v>-0.1</v>
      </c>
      <c r="H37" s="227">
        <v>-0.1</v>
      </c>
      <c r="I37" s="227">
        <v>-0.3</v>
      </c>
      <c r="J37" s="226">
        <v>0.1</v>
      </c>
      <c r="K37" s="341"/>
    </row>
    <row r="39" spans="1:11" ht="15.5" x14ac:dyDescent="0.3">
      <c r="A39" s="333" t="s">
        <v>1</v>
      </c>
      <c r="B39" s="333" t="s">
        <v>2</v>
      </c>
      <c r="C39" s="333" t="s">
        <v>3</v>
      </c>
      <c r="D39" s="333" t="s">
        <v>4</v>
      </c>
      <c r="E39" s="333" t="s">
        <v>25</v>
      </c>
      <c r="F39" s="337"/>
      <c r="G39" s="337"/>
      <c r="H39" s="337"/>
      <c r="I39" s="337"/>
      <c r="J39" s="338"/>
      <c r="K39" s="333" t="s">
        <v>6</v>
      </c>
    </row>
    <row r="40" spans="1:11" ht="15.5" x14ac:dyDescent="0.3">
      <c r="A40" s="334"/>
      <c r="B40" s="334"/>
      <c r="C40" s="334"/>
      <c r="D40" s="334"/>
      <c r="E40" s="224" t="s">
        <v>8</v>
      </c>
      <c r="F40" s="224" t="s">
        <v>9</v>
      </c>
      <c r="G40" s="224" t="s">
        <v>10</v>
      </c>
      <c r="H40" s="224" t="s">
        <v>11</v>
      </c>
      <c r="I40" s="224" t="s">
        <v>12</v>
      </c>
      <c r="J40" s="224" t="s">
        <v>13</v>
      </c>
      <c r="K40" s="334"/>
    </row>
    <row r="41" spans="1:11" ht="15.5" x14ac:dyDescent="0.35">
      <c r="A41" s="335" t="s">
        <v>15</v>
      </c>
      <c r="B41" s="335" t="s">
        <v>49</v>
      </c>
      <c r="C41" s="335" t="s">
        <v>50</v>
      </c>
      <c r="D41" s="225" t="s">
        <v>18</v>
      </c>
      <c r="E41" s="226">
        <v>4</v>
      </c>
      <c r="F41" s="226">
        <v>4</v>
      </c>
      <c r="G41" s="226">
        <v>4</v>
      </c>
      <c r="H41" s="226">
        <v>4</v>
      </c>
      <c r="I41" s="226">
        <v>4</v>
      </c>
      <c r="J41" s="226">
        <v>4</v>
      </c>
      <c r="K41" s="339"/>
    </row>
    <row r="42" spans="1:11" ht="15.5" x14ac:dyDescent="0.35">
      <c r="A42" s="336"/>
      <c r="B42" s="336"/>
      <c r="C42" s="336"/>
      <c r="D42" s="225" t="s">
        <v>20</v>
      </c>
      <c r="E42" s="226">
        <v>3</v>
      </c>
      <c r="F42" s="226">
        <v>1.8</v>
      </c>
      <c r="G42" s="226">
        <v>2.8</v>
      </c>
      <c r="H42" s="226">
        <v>4.4000000000000004</v>
      </c>
      <c r="I42" s="226">
        <v>2.7</v>
      </c>
      <c r="J42" s="226">
        <v>4</v>
      </c>
      <c r="K42" s="340"/>
    </row>
    <row r="43" spans="1:11" ht="15.5" x14ac:dyDescent="0.35">
      <c r="A43" s="334"/>
      <c r="B43" s="334"/>
      <c r="C43" s="334"/>
      <c r="D43" s="225" t="s">
        <v>21</v>
      </c>
      <c r="E43" s="226">
        <v>0.9</v>
      </c>
      <c r="F43" s="226">
        <v>2.1</v>
      </c>
      <c r="G43" s="226">
        <v>1.1000000000000001</v>
      </c>
      <c r="H43" s="227">
        <v>-0.5</v>
      </c>
      <c r="I43" s="226">
        <v>1.2</v>
      </c>
      <c r="J43" s="227">
        <v>-0.1</v>
      </c>
      <c r="K43" s="341"/>
    </row>
    <row r="45" spans="1:11" ht="15.5" x14ac:dyDescent="0.3">
      <c r="A45" s="333" t="s">
        <v>1</v>
      </c>
      <c r="B45" s="333" t="s">
        <v>2</v>
      </c>
      <c r="C45" s="333" t="s">
        <v>3</v>
      </c>
      <c r="D45" s="333" t="s">
        <v>4</v>
      </c>
      <c r="E45" s="333" t="s">
        <v>25</v>
      </c>
      <c r="F45" s="337"/>
      <c r="G45" s="337"/>
      <c r="H45" s="337"/>
      <c r="I45" s="337"/>
      <c r="J45" s="338"/>
      <c r="K45" s="333" t="s">
        <v>6</v>
      </c>
    </row>
    <row r="46" spans="1:11" ht="15.5" x14ac:dyDescent="0.3">
      <c r="A46" s="334"/>
      <c r="B46" s="334"/>
      <c r="C46" s="334"/>
      <c r="D46" s="334"/>
      <c r="E46" s="224" t="s">
        <v>8</v>
      </c>
      <c r="F46" s="224" t="s">
        <v>9</v>
      </c>
      <c r="G46" s="224" t="s">
        <v>10</v>
      </c>
      <c r="H46" s="224" t="s">
        <v>11</v>
      </c>
      <c r="I46" s="224" t="s">
        <v>12</v>
      </c>
      <c r="J46" s="224" t="s">
        <v>13</v>
      </c>
      <c r="K46" s="334"/>
    </row>
    <row r="47" spans="1:11" ht="15.5" x14ac:dyDescent="0.35">
      <c r="A47" s="335" t="s">
        <v>15</v>
      </c>
      <c r="B47" s="335" t="s">
        <v>51</v>
      </c>
      <c r="C47" s="335" t="s">
        <v>52</v>
      </c>
      <c r="D47" s="225" t="s">
        <v>18</v>
      </c>
      <c r="E47" s="226">
        <v>1</v>
      </c>
      <c r="F47" s="226">
        <v>1</v>
      </c>
      <c r="G47" s="226">
        <v>1</v>
      </c>
      <c r="H47" s="226">
        <v>2</v>
      </c>
      <c r="I47" s="226">
        <v>2</v>
      </c>
      <c r="J47" s="226">
        <v>2</v>
      </c>
      <c r="K47" s="339"/>
    </row>
    <row r="48" spans="1:11" ht="15.5" x14ac:dyDescent="0.35">
      <c r="A48" s="336"/>
      <c r="B48" s="336"/>
      <c r="C48" s="336"/>
      <c r="D48" s="225" t="s">
        <v>20</v>
      </c>
      <c r="E48" s="226">
        <v>0.8</v>
      </c>
      <c r="F48" s="226">
        <v>1.1000000000000001</v>
      </c>
      <c r="G48" s="226">
        <v>1.2</v>
      </c>
      <c r="H48" s="226">
        <v>1</v>
      </c>
      <c r="I48" s="226">
        <v>0.9</v>
      </c>
      <c r="J48" s="226">
        <v>0.8</v>
      </c>
      <c r="K48" s="340"/>
    </row>
    <row r="49" spans="1:11" ht="15.5" x14ac:dyDescent="0.35">
      <c r="A49" s="334"/>
      <c r="B49" s="334"/>
      <c r="C49" s="334"/>
      <c r="D49" s="225" t="s">
        <v>21</v>
      </c>
      <c r="E49" s="226">
        <v>0.1</v>
      </c>
      <c r="F49" s="227">
        <v>-0.2</v>
      </c>
      <c r="G49" s="226">
        <v>0.7</v>
      </c>
      <c r="H49" s="226">
        <v>0.9</v>
      </c>
      <c r="I49" s="226">
        <v>1</v>
      </c>
      <c r="J49" s="226">
        <v>1.1000000000000001</v>
      </c>
      <c r="K49" s="341"/>
    </row>
    <row r="51" spans="1:11" ht="15.5" x14ac:dyDescent="0.3">
      <c r="A51" s="333" t="s">
        <v>1</v>
      </c>
      <c r="B51" s="333" t="s">
        <v>2</v>
      </c>
      <c r="C51" s="333" t="s">
        <v>3</v>
      </c>
      <c r="D51" s="333" t="s">
        <v>4</v>
      </c>
      <c r="E51" s="333" t="s">
        <v>25</v>
      </c>
      <c r="F51" s="337"/>
      <c r="G51" s="337"/>
      <c r="H51" s="337"/>
      <c r="I51" s="337"/>
      <c r="J51" s="338"/>
      <c r="K51" s="333" t="s">
        <v>6</v>
      </c>
    </row>
    <row r="52" spans="1:11" ht="15.5" x14ac:dyDescent="0.3">
      <c r="A52" s="334"/>
      <c r="B52" s="334"/>
      <c r="C52" s="334"/>
      <c r="D52" s="334"/>
      <c r="E52" s="224" t="s">
        <v>8</v>
      </c>
      <c r="F52" s="224" t="s">
        <v>9</v>
      </c>
      <c r="G52" s="224" t="s">
        <v>10</v>
      </c>
      <c r="H52" s="224" t="s">
        <v>11</v>
      </c>
      <c r="I52" s="224" t="s">
        <v>12</v>
      </c>
      <c r="J52" s="224" t="s">
        <v>13</v>
      </c>
      <c r="K52" s="334"/>
    </row>
    <row r="53" spans="1:11" ht="15.5" x14ac:dyDescent="0.35">
      <c r="A53" s="335" t="s">
        <v>53</v>
      </c>
      <c r="B53" s="335" t="s">
        <v>54</v>
      </c>
      <c r="C53" s="335" t="s">
        <v>55</v>
      </c>
      <c r="D53" s="225" t="s">
        <v>18</v>
      </c>
      <c r="E53" s="226">
        <v>13</v>
      </c>
      <c r="F53" s="226">
        <v>13</v>
      </c>
      <c r="G53" s="226">
        <v>13</v>
      </c>
      <c r="H53" s="226">
        <v>13</v>
      </c>
      <c r="I53" s="226">
        <v>13</v>
      </c>
      <c r="J53" s="226">
        <v>13</v>
      </c>
      <c r="K53" s="339"/>
    </row>
    <row r="54" spans="1:11" ht="15.5" x14ac:dyDescent="0.35">
      <c r="A54" s="336"/>
      <c r="B54" s="336"/>
      <c r="C54" s="336"/>
      <c r="D54" s="225" t="s">
        <v>20</v>
      </c>
      <c r="E54" s="226">
        <v>10.3</v>
      </c>
      <c r="F54" s="226">
        <v>13</v>
      </c>
      <c r="G54" s="226">
        <v>14.8</v>
      </c>
      <c r="H54" s="226">
        <v>11.9</v>
      </c>
      <c r="I54" s="226">
        <v>11.3</v>
      </c>
      <c r="J54" s="226">
        <v>10.4</v>
      </c>
      <c r="K54" s="340"/>
    </row>
    <row r="55" spans="1:11" ht="15.5" x14ac:dyDescent="0.35">
      <c r="A55" s="334"/>
      <c r="B55" s="334"/>
      <c r="C55" s="334"/>
      <c r="D55" s="225" t="s">
        <v>21</v>
      </c>
      <c r="E55" s="226">
        <v>2.6</v>
      </c>
      <c r="F55" s="227">
        <v>-0.1</v>
      </c>
      <c r="G55" s="227">
        <v>-1.9</v>
      </c>
      <c r="H55" s="226">
        <v>1</v>
      </c>
      <c r="I55" s="226">
        <v>1.6</v>
      </c>
      <c r="J55" s="226">
        <v>2.5</v>
      </c>
      <c r="K55" s="341"/>
    </row>
    <row r="57" spans="1:11" ht="15.5" x14ac:dyDescent="0.3">
      <c r="A57" s="333" t="s">
        <v>1</v>
      </c>
      <c r="B57" s="333" t="s">
        <v>2</v>
      </c>
      <c r="C57" s="333" t="s">
        <v>3</v>
      </c>
      <c r="D57" s="333" t="s">
        <v>4</v>
      </c>
      <c r="E57" s="333" t="s">
        <v>25</v>
      </c>
      <c r="F57" s="337"/>
      <c r="G57" s="337"/>
      <c r="H57" s="337"/>
      <c r="I57" s="337"/>
      <c r="J57" s="338"/>
      <c r="K57" s="333" t="s">
        <v>6</v>
      </c>
    </row>
    <row r="58" spans="1:11" ht="15.5" x14ac:dyDescent="0.3">
      <c r="A58" s="334"/>
      <c r="B58" s="334"/>
      <c r="C58" s="334"/>
      <c r="D58" s="334"/>
      <c r="E58" s="224" t="s">
        <v>8</v>
      </c>
      <c r="F58" s="224" t="s">
        <v>9</v>
      </c>
      <c r="G58" s="224" t="s">
        <v>10</v>
      </c>
      <c r="H58" s="224" t="s">
        <v>11</v>
      </c>
      <c r="I58" s="224" t="s">
        <v>12</v>
      </c>
      <c r="J58" s="224" t="s">
        <v>13</v>
      </c>
      <c r="K58" s="334"/>
    </row>
    <row r="59" spans="1:11" ht="15.5" x14ac:dyDescent="0.35">
      <c r="A59" s="335" t="s">
        <v>53</v>
      </c>
      <c r="B59" s="335" t="s">
        <v>56</v>
      </c>
      <c r="C59" s="335" t="s">
        <v>57</v>
      </c>
      <c r="D59" s="225" t="s">
        <v>18</v>
      </c>
      <c r="E59" s="226">
        <v>3</v>
      </c>
      <c r="F59" s="226">
        <v>3</v>
      </c>
      <c r="G59" s="226">
        <v>3</v>
      </c>
      <c r="H59" s="226">
        <v>3</v>
      </c>
      <c r="I59" s="226">
        <v>4</v>
      </c>
      <c r="J59" s="226">
        <v>4</v>
      </c>
      <c r="K59" s="339"/>
    </row>
    <row r="60" spans="1:11" ht="15.5" x14ac:dyDescent="0.35">
      <c r="A60" s="336"/>
      <c r="B60" s="336"/>
      <c r="C60" s="336"/>
      <c r="D60" s="225" t="s">
        <v>20</v>
      </c>
      <c r="E60" s="226">
        <v>1.9</v>
      </c>
      <c r="F60" s="226">
        <v>2.1</v>
      </c>
      <c r="G60" s="226">
        <v>0</v>
      </c>
      <c r="H60" s="226">
        <v>4.0999999999999996</v>
      </c>
      <c r="I60" s="226">
        <v>5.2</v>
      </c>
      <c r="J60" s="226">
        <v>4.9000000000000004</v>
      </c>
      <c r="K60" s="340"/>
    </row>
    <row r="61" spans="1:11" ht="15.5" x14ac:dyDescent="0.35">
      <c r="A61" s="334"/>
      <c r="B61" s="334"/>
      <c r="C61" s="334"/>
      <c r="D61" s="225" t="s">
        <v>21</v>
      </c>
      <c r="E61" s="226">
        <v>1</v>
      </c>
      <c r="F61" s="226">
        <v>0.8</v>
      </c>
      <c r="G61" s="226">
        <v>2.9</v>
      </c>
      <c r="H61" s="227">
        <v>-0.2</v>
      </c>
      <c r="I61" s="227">
        <v>-1.3</v>
      </c>
      <c r="J61" s="227">
        <v>-1</v>
      </c>
      <c r="K61" s="341"/>
    </row>
    <row r="63" spans="1:11" ht="15.5" x14ac:dyDescent="0.3">
      <c r="A63" s="333" t="s">
        <v>1</v>
      </c>
      <c r="B63" s="333" t="s">
        <v>2</v>
      </c>
      <c r="C63" s="333" t="s">
        <v>3</v>
      </c>
      <c r="D63" s="333" t="s">
        <v>4</v>
      </c>
      <c r="E63" s="333" t="s">
        <v>25</v>
      </c>
      <c r="F63" s="337"/>
      <c r="G63" s="337"/>
      <c r="H63" s="337"/>
      <c r="I63" s="337"/>
      <c r="J63" s="338"/>
      <c r="K63" s="333" t="s">
        <v>6</v>
      </c>
    </row>
    <row r="64" spans="1:11" ht="15.5" x14ac:dyDescent="0.3">
      <c r="A64" s="334"/>
      <c r="B64" s="334"/>
      <c r="C64" s="334"/>
      <c r="D64" s="334"/>
      <c r="E64" s="224" t="s">
        <v>8</v>
      </c>
      <c r="F64" s="224" t="s">
        <v>9</v>
      </c>
      <c r="G64" s="224" t="s">
        <v>10</v>
      </c>
      <c r="H64" s="224" t="s">
        <v>11</v>
      </c>
      <c r="I64" s="224" t="s">
        <v>12</v>
      </c>
      <c r="J64" s="224" t="s">
        <v>13</v>
      </c>
      <c r="K64" s="334"/>
    </row>
    <row r="65" spans="1:11" ht="15.5" x14ac:dyDescent="0.35">
      <c r="A65" s="335" t="s">
        <v>53</v>
      </c>
      <c r="B65" s="335" t="s">
        <v>58</v>
      </c>
      <c r="C65" s="335" t="s">
        <v>59</v>
      </c>
      <c r="D65" s="225" t="s">
        <v>18</v>
      </c>
      <c r="E65" s="226">
        <v>1</v>
      </c>
      <c r="F65" s="226">
        <v>1</v>
      </c>
      <c r="G65" s="226">
        <v>1</v>
      </c>
      <c r="H65" s="226">
        <v>1</v>
      </c>
      <c r="I65" s="226">
        <v>1</v>
      </c>
      <c r="J65" s="226">
        <v>1</v>
      </c>
      <c r="K65" s="339"/>
    </row>
    <row r="66" spans="1:11" ht="15.5" x14ac:dyDescent="0.35">
      <c r="A66" s="336"/>
      <c r="B66" s="336"/>
      <c r="C66" s="336"/>
      <c r="D66" s="225" t="s">
        <v>20</v>
      </c>
      <c r="E66" s="226">
        <v>2.6</v>
      </c>
      <c r="F66" s="226">
        <v>1.2</v>
      </c>
      <c r="G66" s="226">
        <v>2.9</v>
      </c>
      <c r="H66" s="226">
        <v>2</v>
      </c>
      <c r="I66" s="226">
        <v>1.5</v>
      </c>
      <c r="J66" s="226">
        <v>0.9</v>
      </c>
      <c r="K66" s="340"/>
    </row>
    <row r="67" spans="1:11" ht="15.5" x14ac:dyDescent="0.35">
      <c r="A67" s="334"/>
      <c r="B67" s="334"/>
      <c r="C67" s="334"/>
      <c r="D67" s="225" t="s">
        <v>21</v>
      </c>
      <c r="E67" s="227">
        <v>-1.7</v>
      </c>
      <c r="F67" s="227">
        <v>-0.3</v>
      </c>
      <c r="G67" s="227">
        <v>-2</v>
      </c>
      <c r="H67" s="227">
        <v>-1.1000000000000001</v>
      </c>
      <c r="I67" s="227">
        <v>-0.6</v>
      </c>
      <c r="J67" s="226">
        <v>0</v>
      </c>
      <c r="K67" s="341"/>
    </row>
    <row r="69" spans="1:11" ht="15.5" x14ac:dyDescent="0.3">
      <c r="A69" s="333" t="s">
        <v>1</v>
      </c>
      <c r="B69" s="333" t="s">
        <v>2</v>
      </c>
      <c r="C69" s="333" t="s">
        <v>3</v>
      </c>
      <c r="D69" s="333" t="s">
        <v>4</v>
      </c>
      <c r="E69" s="333" t="s">
        <v>25</v>
      </c>
      <c r="F69" s="337"/>
      <c r="G69" s="337"/>
      <c r="H69" s="337"/>
      <c r="I69" s="337"/>
      <c r="J69" s="338"/>
      <c r="K69" s="333" t="s">
        <v>6</v>
      </c>
    </row>
    <row r="70" spans="1:11" ht="15.5" x14ac:dyDescent="0.3">
      <c r="A70" s="334"/>
      <c r="B70" s="334"/>
      <c r="C70" s="334"/>
      <c r="D70" s="334"/>
      <c r="E70" s="224" t="s">
        <v>8</v>
      </c>
      <c r="F70" s="224" t="s">
        <v>9</v>
      </c>
      <c r="G70" s="224" t="s">
        <v>10</v>
      </c>
      <c r="H70" s="224" t="s">
        <v>11</v>
      </c>
      <c r="I70" s="224" t="s">
        <v>12</v>
      </c>
      <c r="J70" s="224" t="s">
        <v>13</v>
      </c>
      <c r="K70" s="334"/>
    </row>
    <row r="71" spans="1:11" ht="15.5" x14ac:dyDescent="0.35">
      <c r="A71" s="335" t="s">
        <v>53</v>
      </c>
      <c r="B71" s="335" t="s">
        <v>60</v>
      </c>
      <c r="C71" s="335" t="s">
        <v>61</v>
      </c>
      <c r="D71" s="225" t="s">
        <v>18</v>
      </c>
      <c r="E71" s="226">
        <v>3</v>
      </c>
      <c r="F71" s="226">
        <v>3</v>
      </c>
      <c r="G71" s="226">
        <v>3</v>
      </c>
      <c r="H71" s="226">
        <v>3</v>
      </c>
      <c r="I71" s="226">
        <v>3</v>
      </c>
      <c r="J71" s="226">
        <v>3</v>
      </c>
      <c r="K71" s="339"/>
    </row>
    <row r="72" spans="1:11" ht="15.5" x14ac:dyDescent="0.35">
      <c r="A72" s="336"/>
      <c r="B72" s="336"/>
      <c r="C72" s="336"/>
      <c r="D72" s="225" t="s">
        <v>20</v>
      </c>
      <c r="E72" s="226">
        <v>3.2</v>
      </c>
      <c r="F72" s="226">
        <v>3.2</v>
      </c>
      <c r="G72" s="226">
        <v>3.8</v>
      </c>
      <c r="H72" s="226">
        <v>3.1</v>
      </c>
      <c r="I72" s="226">
        <v>2</v>
      </c>
      <c r="J72" s="226">
        <v>1.3</v>
      </c>
      <c r="K72" s="340"/>
    </row>
    <row r="73" spans="1:11" ht="15.5" x14ac:dyDescent="0.35">
      <c r="A73" s="334"/>
      <c r="B73" s="334"/>
      <c r="C73" s="334"/>
      <c r="D73" s="225" t="s">
        <v>21</v>
      </c>
      <c r="E73" s="227">
        <v>-0.3</v>
      </c>
      <c r="F73" s="227">
        <v>-0.3</v>
      </c>
      <c r="G73" s="227">
        <v>-0.9</v>
      </c>
      <c r="H73" s="227">
        <v>-0.2</v>
      </c>
      <c r="I73" s="226">
        <v>0.9</v>
      </c>
      <c r="J73" s="226">
        <v>1.6</v>
      </c>
      <c r="K73" s="341"/>
    </row>
    <row r="75" spans="1:11" ht="15.5" x14ac:dyDescent="0.3">
      <c r="A75" s="333" t="s">
        <v>1</v>
      </c>
      <c r="B75" s="333" t="s">
        <v>2</v>
      </c>
      <c r="C75" s="333" t="s">
        <v>3</v>
      </c>
      <c r="D75" s="333" t="s">
        <v>4</v>
      </c>
      <c r="E75" s="333" t="s">
        <v>25</v>
      </c>
      <c r="F75" s="337"/>
      <c r="G75" s="337"/>
      <c r="H75" s="337"/>
      <c r="I75" s="337"/>
      <c r="J75" s="338"/>
      <c r="K75" s="333" t="s">
        <v>6</v>
      </c>
    </row>
    <row r="76" spans="1:11" ht="15.5" x14ac:dyDescent="0.3">
      <c r="A76" s="334"/>
      <c r="B76" s="334"/>
      <c r="C76" s="334"/>
      <c r="D76" s="334"/>
      <c r="E76" s="224" t="s">
        <v>62</v>
      </c>
      <c r="F76" s="224" t="s">
        <v>9</v>
      </c>
      <c r="G76" s="224" t="s">
        <v>10</v>
      </c>
      <c r="H76" s="224" t="s">
        <v>11</v>
      </c>
      <c r="I76" s="224" t="s">
        <v>12</v>
      </c>
      <c r="J76" s="224" t="s">
        <v>13</v>
      </c>
      <c r="K76" s="334"/>
    </row>
    <row r="77" spans="1:11" ht="15.5" x14ac:dyDescent="0.35">
      <c r="A77" s="335" t="s">
        <v>63</v>
      </c>
      <c r="B77" s="335" t="s">
        <v>64</v>
      </c>
      <c r="C77" s="335" t="s">
        <v>65</v>
      </c>
      <c r="D77" s="225" t="s">
        <v>18</v>
      </c>
      <c r="E77" s="226">
        <v>2</v>
      </c>
      <c r="F77" s="226">
        <v>2</v>
      </c>
      <c r="G77" s="226">
        <v>2</v>
      </c>
      <c r="H77" s="226">
        <v>2</v>
      </c>
      <c r="I77" s="226">
        <v>2</v>
      </c>
      <c r="J77" s="226">
        <v>2</v>
      </c>
      <c r="K77" s="339"/>
    </row>
    <row r="78" spans="1:11" ht="15.5" x14ac:dyDescent="0.35">
      <c r="A78" s="336"/>
      <c r="B78" s="336"/>
      <c r="C78" s="336"/>
      <c r="D78" s="225" t="s">
        <v>20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340"/>
    </row>
    <row r="79" spans="1:11" ht="15.5" x14ac:dyDescent="0.35">
      <c r="A79" s="334"/>
      <c r="B79" s="334"/>
      <c r="C79" s="334"/>
      <c r="D79" s="225" t="s">
        <v>21</v>
      </c>
      <c r="E79" s="226">
        <v>0.8</v>
      </c>
      <c r="F79" s="226">
        <v>1.4</v>
      </c>
      <c r="G79" s="226">
        <v>0.4</v>
      </c>
      <c r="H79" s="226">
        <v>0.8</v>
      </c>
      <c r="I79" s="227">
        <v>-0.4</v>
      </c>
      <c r="J79" s="226">
        <v>0.9</v>
      </c>
      <c r="K79" s="341"/>
    </row>
    <row r="81" spans="1:11" ht="15.5" x14ac:dyDescent="0.3">
      <c r="A81" s="333" t="s">
        <v>1</v>
      </c>
      <c r="B81" s="333" t="s">
        <v>2</v>
      </c>
      <c r="C81" s="333" t="s">
        <v>3</v>
      </c>
      <c r="D81" s="333" t="s">
        <v>4</v>
      </c>
      <c r="E81" s="333" t="s">
        <v>25</v>
      </c>
      <c r="F81" s="337"/>
      <c r="G81" s="337"/>
      <c r="H81" s="337"/>
      <c r="I81" s="337"/>
      <c r="J81" s="338"/>
      <c r="K81" s="333" t="s">
        <v>6</v>
      </c>
    </row>
    <row r="82" spans="1:11" ht="15.5" x14ac:dyDescent="0.3">
      <c r="A82" s="334"/>
      <c r="B82" s="334"/>
      <c r="C82" s="334"/>
      <c r="D82" s="334"/>
      <c r="E82" s="224" t="s">
        <v>62</v>
      </c>
      <c r="F82" s="224" t="s">
        <v>9</v>
      </c>
      <c r="G82" s="224" t="s">
        <v>10</v>
      </c>
      <c r="H82" s="224" t="s">
        <v>11</v>
      </c>
      <c r="I82" s="224" t="s">
        <v>12</v>
      </c>
      <c r="J82" s="224" t="s">
        <v>13</v>
      </c>
      <c r="K82" s="334"/>
    </row>
    <row r="83" spans="1:11" ht="15.5" x14ac:dyDescent="0.35">
      <c r="A83" s="335" t="s">
        <v>63</v>
      </c>
      <c r="B83" s="335" t="s">
        <v>66</v>
      </c>
      <c r="C83" s="335" t="s">
        <v>67</v>
      </c>
      <c r="D83" s="225" t="s">
        <v>18</v>
      </c>
      <c r="E83" s="226">
        <v>1</v>
      </c>
      <c r="F83" s="226">
        <v>1</v>
      </c>
      <c r="G83" s="226">
        <v>1</v>
      </c>
      <c r="H83" s="226">
        <v>1</v>
      </c>
      <c r="I83" s="226">
        <v>1</v>
      </c>
      <c r="J83" s="226">
        <v>1</v>
      </c>
      <c r="K83" s="339"/>
    </row>
    <row r="84" spans="1:11" ht="15.5" x14ac:dyDescent="0.35">
      <c r="A84" s="336"/>
      <c r="B84" s="336"/>
      <c r="C84" s="336"/>
      <c r="D84" s="225" t="s">
        <v>20</v>
      </c>
      <c r="E84" s="228">
        <v>0.85436184780261404</v>
      </c>
      <c r="F84" s="228">
        <v>0.79186931508192249</v>
      </c>
      <c r="G84" s="228">
        <v>1.019148104103798</v>
      </c>
      <c r="H84" s="228">
        <v>0.92716806898197801</v>
      </c>
      <c r="I84" s="228">
        <v>1.089614944568053</v>
      </c>
      <c r="J84" s="228">
        <v>0.69856484788359752</v>
      </c>
      <c r="K84" s="340"/>
    </row>
    <row r="85" spans="1:11" ht="15.5" x14ac:dyDescent="0.35">
      <c r="A85" s="334"/>
      <c r="B85" s="334"/>
      <c r="C85" s="334"/>
      <c r="D85" s="225" t="s">
        <v>21</v>
      </c>
      <c r="E85" s="226">
        <v>0.1</v>
      </c>
      <c r="F85" s="226">
        <v>0.2</v>
      </c>
      <c r="G85" s="227">
        <v>-0.1</v>
      </c>
      <c r="H85" s="226">
        <v>0</v>
      </c>
      <c r="I85" s="227">
        <v>-0.1</v>
      </c>
      <c r="J85" s="226">
        <v>0.3</v>
      </c>
      <c r="K85" s="341"/>
    </row>
    <row r="87" spans="1:11" ht="15.5" x14ac:dyDescent="0.3">
      <c r="A87" s="333" t="s">
        <v>1</v>
      </c>
      <c r="B87" s="333" t="s">
        <v>2</v>
      </c>
      <c r="C87" s="333" t="s">
        <v>3</v>
      </c>
      <c r="D87" s="333" t="s">
        <v>4</v>
      </c>
      <c r="E87" s="333" t="s">
        <v>25</v>
      </c>
      <c r="F87" s="337"/>
      <c r="G87" s="337"/>
      <c r="H87" s="337"/>
      <c r="I87" s="337"/>
      <c r="J87" s="338"/>
      <c r="K87" s="333" t="s">
        <v>6</v>
      </c>
    </row>
    <row r="88" spans="1:11" ht="15.5" x14ac:dyDescent="0.3">
      <c r="A88" s="334"/>
      <c r="B88" s="334"/>
      <c r="C88" s="334"/>
      <c r="D88" s="334"/>
      <c r="E88" s="224" t="s">
        <v>62</v>
      </c>
      <c r="F88" s="224" t="s">
        <v>9</v>
      </c>
      <c r="G88" s="224" t="s">
        <v>10</v>
      </c>
      <c r="H88" s="224" t="s">
        <v>11</v>
      </c>
      <c r="I88" s="224" t="s">
        <v>12</v>
      </c>
      <c r="J88" s="224" t="s">
        <v>13</v>
      </c>
      <c r="K88" s="334"/>
    </row>
    <row r="89" spans="1:11" ht="15.5" x14ac:dyDescent="0.35">
      <c r="A89" s="335" t="s">
        <v>63</v>
      </c>
      <c r="B89" s="335" t="s">
        <v>68</v>
      </c>
      <c r="C89" s="335" t="s">
        <v>65</v>
      </c>
      <c r="D89" s="225" t="s">
        <v>18</v>
      </c>
      <c r="E89" s="226">
        <v>11</v>
      </c>
      <c r="F89" s="226">
        <v>11</v>
      </c>
      <c r="G89" s="226">
        <v>11</v>
      </c>
      <c r="H89" s="226">
        <v>11</v>
      </c>
      <c r="I89" s="226">
        <v>11</v>
      </c>
      <c r="J89" s="226">
        <v>11</v>
      </c>
      <c r="K89" s="339"/>
    </row>
    <row r="90" spans="1:11" ht="15.5" x14ac:dyDescent="0.35">
      <c r="A90" s="336"/>
      <c r="B90" s="336"/>
      <c r="C90" s="336"/>
      <c r="D90" s="225" t="s">
        <v>20</v>
      </c>
      <c r="E90" s="226">
        <v>8.4</v>
      </c>
      <c r="F90" s="226">
        <v>9.6999999999999993</v>
      </c>
      <c r="G90" s="226">
        <v>6.4</v>
      </c>
      <c r="H90" s="226">
        <v>7.9</v>
      </c>
      <c r="I90" s="226">
        <v>7.3</v>
      </c>
      <c r="J90" s="226">
        <v>12.7</v>
      </c>
      <c r="K90" s="340"/>
    </row>
    <row r="91" spans="1:11" ht="15.5" x14ac:dyDescent="0.35">
      <c r="A91" s="334"/>
      <c r="B91" s="334"/>
      <c r="C91" s="334"/>
      <c r="D91" s="225" t="s">
        <v>21</v>
      </c>
      <c r="E91" s="226">
        <v>2.5</v>
      </c>
      <c r="F91" s="226">
        <v>1.2</v>
      </c>
      <c r="G91" s="226">
        <v>4.5</v>
      </c>
      <c r="H91" s="226">
        <v>3</v>
      </c>
      <c r="I91" s="226">
        <v>3.6</v>
      </c>
      <c r="J91" s="227">
        <v>-1.8</v>
      </c>
      <c r="K91" s="341"/>
    </row>
    <row r="93" spans="1:11" ht="15.5" x14ac:dyDescent="0.3">
      <c r="A93" s="333" t="s">
        <v>1</v>
      </c>
      <c r="B93" s="333" t="s">
        <v>2</v>
      </c>
      <c r="C93" s="333" t="s">
        <v>3</v>
      </c>
      <c r="D93" s="333" t="s">
        <v>4</v>
      </c>
      <c r="E93" s="333" t="s">
        <v>25</v>
      </c>
      <c r="F93" s="337"/>
      <c r="G93" s="337"/>
      <c r="H93" s="337"/>
      <c r="I93" s="337"/>
      <c r="J93" s="338"/>
      <c r="K93" s="333" t="s">
        <v>6</v>
      </c>
    </row>
    <row r="94" spans="1:11" ht="15.5" x14ac:dyDescent="0.3">
      <c r="A94" s="334"/>
      <c r="B94" s="334"/>
      <c r="C94" s="334"/>
      <c r="D94" s="334"/>
      <c r="E94" s="224" t="s">
        <v>62</v>
      </c>
      <c r="F94" s="224" t="s">
        <v>9</v>
      </c>
      <c r="G94" s="224" t="s">
        <v>10</v>
      </c>
      <c r="H94" s="224" t="s">
        <v>11</v>
      </c>
      <c r="I94" s="224" t="s">
        <v>12</v>
      </c>
      <c r="J94" s="224" t="s">
        <v>13</v>
      </c>
      <c r="K94" s="334"/>
    </row>
    <row r="95" spans="1:11" ht="15.5" x14ac:dyDescent="0.35">
      <c r="A95" s="335" t="s">
        <v>63</v>
      </c>
      <c r="B95" s="335" t="s">
        <v>69</v>
      </c>
      <c r="C95" s="335" t="s">
        <v>48</v>
      </c>
      <c r="D95" s="225" t="s">
        <v>18</v>
      </c>
      <c r="E95" s="226">
        <v>2</v>
      </c>
      <c r="F95" s="226">
        <v>2</v>
      </c>
      <c r="G95" s="226">
        <v>2</v>
      </c>
      <c r="H95" s="226">
        <v>2</v>
      </c>
      <c r="I95" s="226">
        <v>2</v>
      </c>
      <c r="J95" s="226">
        <v>2</v>
      </c>
      <c r="K95" s="339"/>
    </row>
    <row r="96" spans="1:11" ht="15.5" x14ac:dyDescent="0.35">
      <c r="A96" s="336"/>
      <c r="B96" s="336"/>
      <c r="C96" s="336"/>
      <c r="D96" s="225" t="s">
        <v>20</v>
      </c>
      <c r="E96" s="226">
        <v>1.4</v>
      </c>
      <c r="F96" s="226">
        <v>1.9</v>
      </c>
      <c r="G96" s="226">
        <v>1.9</v>
      </c>
      <c r="H96" s="226">
        <v>1.9</v>
      </c>
      <c r="I96" s="226">
        <v>2.8</v>
      </c>
      <c r="J96" s="226">
        <v>2.8</v>
      </c>
      <c r="K96" s="340"/>
    </row>
    <row r="97" spans="1:11" ht="15.5" x14ac:dyDescent="0.35">
      <c r="A97" s="334"/>
      <c r="B97" s="334"/>
      <c r="C97" s="334"/>
      <c r="D97" s="225" t="s">
        <v>21</v>
      </c>
      <c r="E97" s="226">
        <v>0.5</v>
      </c>
      <c r="F97" s="226">
        <v>0</v>
      </c>
      <c r="G97" s="226">
        <v>0</v>
      </c>
      <c r="H97" s="226">
        <v>0</v>
      </c>
      <c r="I97" s="227">
        <v>-0.9</v>
      </c>
      <c r="J97" s="227">
        <v>-0.9</v>
      </c>
      <c r="K97" s="341"/>
    </row>
    <row r="99" spans="1:11" ht="15.5" x14ac:dyDescent="0.3">
      <c r="A99" s="333" t="s">
        <v>1</v>
      </c>
      <c r="B99" s="333" t="s">
        <v>2</v>
      </c>
      <c r="C99" s="333" t="s">
        <v>3</v>
      </c>
      <c r="D99" s="333" t="s">
        <v>4</v>
      </c>
      <c r="E99" s="333" t="s">
        <v>25</v>
      </c>
      <c r="F99" s="337"/>
      <c r="G99" s="337"/>
      <c r="H99" s="337"/>
      <c r="I99" s="337"/>
      <c r="J99" s="338"/>
      <c r="K99" s="333" t="s">
        <v>6</v>
      </c>
    </row>
    <row r="100" spans="1:11" ht="15.5" x14ac:dyDescent="0.3">
      <c r="A100" s="334"/>
      <c r="B100" s="334"/>
      <c r="C100" s="334"/>
      <c r="D100" s="334"/>
      <c r="E100" s="224"/>
      <c r="F100" s="224"/>
      <c r="G100" s="224"/>
      <c r="H100" s="224"/>
      <c r="I100" s="224"/>
      <c r="J100" s="224"/>
      <c r="K100" s="334"/>
    </row>
    <row r="101" spans="1:11" ht="15.5" x14ac:dyDescent="0.35">
      <c r="A101" s="335"/>
      <c r="B101" s="335"/>
      <c r="C101" s="335"/>
      <c r="D101" s="225" t="s">
        <v>18</v>
      </c>
      <c r="E101" s="226"/>
      <c r="F101" s="226"/>
      <c r="G101" s="226"/>
      <c r="H101" s="226"/>
      <c r="I101" s="226"/>
      <c r="J101" s="226"/>
      <c r="K101" s="339"/>
    </row>
    <row r="102" spans="1:11" ht="15.5" x14ac:dyDescent="0.35">
      <c r="A102" s="336"/>
      <c r="B102" s="336"/>
      <c r="C102" s="336"/>
      <c r="D102" s="225" t="s">
        <v>20</v>
      </c>
      <c r="E102" s="226"/>
      <c r="F102" s="226"/>
      <c r="G102" s="226"/>
      <c r="H102" s="226"/>
      <c r="I102" s="226"/>
      <c r="J102" s="226"/>
      <c r="K102" s="340"/>
    </row>
    <row r="103" spans="1:11" ht="15.5" x14ac:dyDescent="0.35">
      <c r="A103" s="334"/>
      <c r="B103" s="334"/>
      <c r="C103" s="334"/>
      <c r="D103" s="225" t="s">
        <v>21</v>
      </c>
      <c r="E103" s="226"/>
      <c r="F103" s="226"/>
      <c r="G103" s="226"/>
      <c r="H103" s="226"/>
      <c r="I103" s="226"/>
      <c r="J103" s="226"/>
      <c r="K103" s="341"/>
    </row>
    <row r="105" spans="1:11" ht="15.5" x14ac:dyDescent="0.3">
      <c r="A105" s="333" t="s">
        <v>1</v>
      </c>
      <c r="B105" s="333" t="s">
        <v>2</v>
      </c>
      <c r="C105" s="333" t="s">
        <v>3</v>
      </c>
      <c r="D105" s="333" t="s">
        <v>4</v>
      </c>
      <c r="E105" s="333" t="s">
        <v>25</v>
      </c>
      <c r="F105" s="337"/>
      <c r="G105" s="337"/>
      <c r="H105" s="337"/>
      <c r="I105" s="337"/>
      <c r="J105" s="338"/>
      <c r="K105" s="333" t="s">
        <v>6</v>
      </c>
    </row>
    <row r="106" spans="1:11" ht="15.5" x14ac:dyDescent="0.3">
      <c r="A106" s="334"/>
      <c r="B106" s="334"/>
      <c r="C106" s="334"/>
      <c r="D106" s="334"/>
      <c r="E106" s="224"/>
      <c r="F106" s="224"/>
      <c r="G106" s="224"/>
      <c r="H106" s="224"/>
      <c r="I106" s="224"/>
      <c r="J106" s="224"/>
      <c r="K106" s="334"/>
    </row>
    <row r="107" spans="1:11" ht="15.5" x14ac:dyDescent="0.35">
      <c r="A107" s="335"/>
      <c r="B107" s="335"/>
      <c r="C107" s="335"/>
      <c r="D107" s="225" t="s">
        <v>18</v>
      </c>
      <c r="E107" s="226"/>
      <c r="F107" s="226"/>
      <c r="G107" s="226"/>
      <c r="H107" s="226"/>
      <c r="I107" s="226"/>
      <c r="J107" s="226"/>
      <c r="K107" s="339"/>
    </row>
    <row r="108" spans="1:11" ht="15.5" x14ac:dyDescent="0.35">
      <c r="A108" s="336"/>
      <c r="B108" s="336"/>
      <c r="C108" s="336"/>
      <c r="D108" s="225" t="s">
        <v>20</v>
      </c>
      <c r="E108" s="226"/>
      <c r="F108" s="226"/>
      <c r="G108" s="226"/>
      <c r="H108" s="226"/>
      <c r="I108" s="226"/>
      <c r="J108" s="226"/>
      <c r="K108" s="340"/>
    </row>
    <row r="109" spans="1:11" ht="15.5" x14ac:dyDescent="0.35">
      <c r="A109" s="334"/>
      <c r="B109" s="334"/>
      <c r="C109" s="334"/>
      <c r="D109" s="225" t="s">
        <v>21</v>
      </c>
      <c r="E109" s="226"/>
      <c r="F109" s="226"/>
      <c r="G109" s="226"/>
      <c r="H109" s="226"/>
      <c r="I109" s="226"/>
      <c r="J109" s="226"/>
      <c r="K109" s="341"/>
    </row>
    <row r="111" spans="1:11" ht="15.5" x14ac:dyDescent="0.3">
      <c r="A111" s="333" t="s">
        <v>1</v>
      </c>
      <c r="B111" s="333" t="s">
        <v>2</v>
      </c>
      <c r="C111" s="333" t="s">
        <v>3</v>
      </c>
      <c r="D111" s="333" t="s">
        <v>4</v>
      </c>
      <c r="E111" s="333" t="s">
        <v>25</v>
      </c>
      <c r="F111" s="337"/>
      <c r="G111" s="337"/>
      <c r="H111" s="337"/>
      <c r="I111" s="337"/>
      <c r="J111" s="338"/>
      <c r="K111" s="333" t="s">
        <v>6</v>
      </c>
    </row>
    <row r="112" spans="1:11" ht="15.5" x14ac:dyDescent="0.3">
      <c r="A112" s="334"/>
      <c r="B112" s="334"/>
      <c r="C112" s="334"/>
      <c r="D112" s="334"/>
      <c r="E112" s="224"/>
      <c r="F112" s="224"/>
      <c r="G112" s="224"/>
      <c r="H112" s="224"/>
      <c r="I112" s="224"/>
      <c r="J112" s="224"/>
      <c r="K112" s="334"/>
    </row>
    <row r="113" spans="1:11" ht="15.5" x14ac:dyDescent="0.35">
      <c r="A113" s="335"/>
      <c r="B113" s="335"/>
      <c r="C113" s="335"/>
      <c r="D113" s="225" t="s">
        <v>18</v>
      </c>
      <c r="E113" s="226"/>
      <c r="F113" s="226"/>
      <c r="G113" s="226"/>
      <c r="H113" s="226"/>
      <c r="I113" s="226"/>
      <c r="J113" s="226"/>
      <c r="K113" s="339"/>
    </row>
    <row r="114" spans="1:11" ht="15.5" x14ac:dyDescent="0.35">
      <c r="A114" s="336"/>
      <c r="B114" s="336"/>
      <c r="C114" s="336"/>
      <c r="D114" s="225" t="s">
        <v>20</v>
      </c>
      <c r="E114" s="226"/>
      <c r="F114" s="226"/>
      <c r="G114" s="226"/>
      <c r="H114" s="226"/>
      <c r="I114" s="226"/>
      <c r="J114" s="226"/>
      <c r="K114" s="340"/>
    </row>
    <row r="115" spans="1:11" ht="15.5" x14ac:dyDescent="0.35">
      <c r="A115" s="334"/>
      <c r="B115" s="334"/>
      <c r="C115" s="334"/>
      <c r="D115" s="225" t="s">
        <v>21</v>
      </c>
      <c r="E115" s="226"/>
      <c r="F115" s="226"/>
      <c r="G115" s="226"/>
      <c r="H115" s="226"/>
      <c r="I115" s="226"/>
      <c r="J115" s="226"/>
      <c r="K115" s="341"/>
    </row>
    <row r="117" spans="1:11" ht="15.5" x14ac:dyDescent="0.3">
      <c r="A117" s="333" t="s">
        <v>1</v>
      </c>
      <c r="B117" s="333" t="s">
        <v>2</v>
      </c>
      <c r="C117" s="333" t="s">
        <v>3</v>
      </c>
      <c r="D117" s="333" t="s">
        <v>4</v>
      </c>
      <c r="E117" s="333" t="s">
        <v>25</v>
      </c>
      <c r="F117" s="337"/>
      <c r="G117" s="337"/>
      <c r="H117" s="337"/>
      <c r="I117" s="337"/>
      <c r="J117" s="338"/>
      <c r="K117" s="333" t="s">
        <v>6</v>
      </c>
    </row>
    <row r="118" spans="1:11" ht="15.5" x14ac:dyDescent="0.3">
      <c r="A118" s="334"/>
      <c r="B118" s="334"/>
      <c r="C118" s="334"/>
      <c r="D118" s="334"/>
      <c r="E118" s="224"/>
      <c r="F118" s="224"/>
      <c r="G118" s="224"/>
      <c r="H118" s="224"/>
      <c r="I118" s="224"/>
      <c r="J118" s="224"/>
      <c r="K118" s="334"/>
    </row>
    <row r="119" spans="1:11" ht="15.5" x14ac:dyDescent="0.35">
      <c r="A119" s="335"/>
      <c r="B119" s="335"/>
      <c r="C119" s="335"/>
      <c r="D119" s="225" t="s">
        <v>18</v>
      </c>
      <c r="E119" s="226"/>
      <c r="F119" s="226"/>
      <c r="G119" s="226"/>
      <c r="H119" s="226"/>
      <c r="I119" s="226"/>
      <c r="J119" s="226"/>
      <c r="K119" s="339"/>
    </row>
    <row r="120" spans="1:11" ht="15.5" x14ac:dyDescent="0.35">
      <c r="A120" s="336"/>
      <c r="B120" s="336"/>
      <c r="C120" s="336"/>
      <c r="D120" s="225" t="s">
        <v>20</v>
      </c>
      <c r="E120" s="226"/>
      <c r="F120" s="226"/>
      <c r="G120" s="226"/>
      <c r="H120" s="226"/>
      <c r="I120" s="226"/>
      <c r="J120" s="226"/>
      <c r="K120" s="340"/>
    </row>
    <row r="121" spans="1:11" ht="15.5" x14ac:dyDescent="0.35">
      <c r="A121" s="334"/>
      <c r="B121" s="334"/>
      <c r="C121" s="334"/>
      <c r="D121" s="225" t="s">
        <v>21</v>
      </c>
      <c r="E121" s="226"/>
      <c r="F121" s="226"/>
      <c r="G121" s="226"/>
      <c r="H121" s="226"/>
      <c r="I121" s="226"/>
      <c r="J121" s="226"/>
      <c r="K121" s="341"/>
    </row>
    <row r="123" spans="1:11" ht="15.5" x14ac:dyDescent="0.3">
      <c r="A123" s="333" t="s">
        <v>1</v>
      </c>
      <c r="B123" s="333" t="s">
        <v>2</v>
      </c>
      <c r="C123" s="333" t="s">
        <v>3</v>
      </c>
      <c r="D123" s="333" t="s">
        <v>4</v>
      </c>
      <c r="E123" s="333" t="s">
        <v>25</v>
      </c>
      <c r="F123" s="337"/>
      <c r="G123" s="337"/>
      <c r="H123" s="337"/>
      <c r="I123" s="337"/>
      <c r="J123" s="338"/>
      <c r="K123" s="333" t="s">
        <v>6</v>
      </c>
    </row>
    <row r="124" spans="1:11" ht="15.5" x14ac:dyDescent="0.3">
      <c r="A124" s="334"/>
      <c r="B124" s="334"/>
      <c r="C124" s="334"/>
      <c r="D124" s="334"/>
      <c r="E124" s="224"/>
      <c r="F124" s="224"/>
      <c r="G124" s="224"/>
      <c r="H124" s="224"/>
      <c r="I124" s="224"/>
      <c r="J124" s="224"/>
      <c r="K124" s="334"/>
    </row>
    <row r="125" spans="1:11" ht="15.5" x14ac:dyDescent="0.35">
      <c r="A125" s="335"/>
      <c r="B125" s="335"/>
      <c r="C125" s="335"/>
      <c r="D125" s="225" t="s">
        <v>18</v>
      </c>
      <c r="E125" s="226"/>
      <c r="F125" s="226"/>
      <c r="G125" s="226"/>
      <c r="H125" s="226"/>
      <c r="I125" s="226"/>
      <c r="J125" s="226"/>
      <c r="K125" s="339"/>
    </row>
    <row r="126" spans="1:11" ht="15.5" x14ac:dyDescent="0.35">
      <c r="A126" s="336"/>
      <c r="B126" s="336"/>
      <c r="C126" s="336"/>
      <c r="D126" s="225" t="s">
        <v>20</v>
      </c>
      <c r="E126" s="226"/>
      <c r="F126" s="226"/>
      <c r="G126" s="226"/>
      <c r="H126" s="226"/>
      <c r="I126" s="226"/>
      <c r="J126" s="226"/>
      <c r="K126" s="340"/>
    </row>
    <row r="127" spans="1:11" ht="15.5" x14ac:dyDescent="0.35">
      <c r="A127" s="334"/>
      <c r="B127" s="334"/>
      <c r="C127" s="334"/>
      <c r="D127" s="225" t="s">
        <v>21</v>
      </c>
      <c r="E127" s="226"/>
      <c r="F127" s="226"/>
      <c r="G127" s="226"/>
      <c r="H127" s="226"/>
      <c r="I127" s="226"/>
      <c r="J127" s="226"/>
      <c r="K127" s="341"/>
    </row>
    <row r="129" spans="1:11" ht="15.5" x14ac:dyDescent="0.3">
      <c r="A129" s="333" t="s">
        <v>1</v>
      </c>
      <c r="B129" s="333" t="s">
        <v>2</v>
      </c>
      <c r="C129" s="333" t="s">
        <v>3</v>
      </c>
      <c r="D129" s="333" t="s">
        <v>4</v>
      </c>
      <c r="E129" s="333" t="s">
        <v>25</v>
      </c>
      <c r="F129" s="337"/>
      <c r="G129" s="337"/>
      <c r="H129" s="337"/>
      <c r="I129" s="337"/>
      <c r="J129" s="338"/>
      <c r="K129" s="333" t="s">
        <v>6</v>
      </c>
    </row>
    <row r="130" spans="1:11" ht="15.5" x14ac:dyDescent="0.3">
      <c r="A130" s="334"/>
      <c r="B130" s="334"/>
      <c r="C130" s="334"/>
      <c r="D130" s="334"/>
      <c r="E130" s="224"/>
      <c r="F130" s="224"/>
      <c r="G130" s="224"/>
      <c r="H130" s="224"/>
      <c r="I130" s="224"/>
      <c r="J130" s="224"/>
      <c r="K130" s="334"/>
    </row>
    <row r="131" spans="1:11" ht="15.5" x14ac:dyDescent="0.35">
      <c r="A131" s="335"/>
      <c r="B131" s="335"/>
      <c r="C131" s="335"/>
      <c r="D131" s="225" t="s">
        <v>18</v>
      </c>
      <c r="E131" s="226"/>
      <c r="F131" s="226"/>
      <c r="G131" s="226"/>
      <c r="H131" s="226"/>
      <c r="I131" s="226"/>
      <c r="J131" s="226"/>
      <c r="K131" s="339"/>
    </row>
    <row r="132" spans="1:11" ht="15.5" x14ac:dyDescent="0.35">
      <c r="A132" s="336"/>
      <c r="B132" s="336"/>
      <c r="C132" s="336"/>
      <c r="D132" s="225" t="s">
        <v>20</v>
      </c>
      <c r="E132" s="226"/>
      <c r="F132" s="226"/>
      <c r="G132" s="226"/>
      <c r="H132" s="226"/>
      <c r="I132" s="226"/>
      <c r="J132" s="226"/>
      <c r="K132" s="340"/>
    </row>
    <row r="133" spans="1:11" ht="15.5" x14ac:dyDescent="0.35">
      <c r="A133" s="334"/>
      <c r="B133" s="334"/>
      <c r="C133" s="334"/>
      <c r="D133" s="225" t="s">
        <v>21</v>
      </c>
      <c r="E133" s="226"/>
      <c r="F133" s="226"/>
      <c r="G133" s="226"/>
      <c r="H133" s="226"/>
      <c r="I133" s="226"/>
      <c r="J133" s="226"/>
      <c r="K133" s="341"/>
    </row>
  </sheetData>
  <mergeCells count="220">
    <mergeCell ref="K129:K130"/>
    <mergeCell ref="K131:K133"/>
    <mergeCell ref="K101:K103"/>
    <mergeCell ref="K105:K106"/>
    <mergeCell ref="K107:K109"/>
    <mergeCell ref="K111:K112"/>
    <mergeCell ref="K113:K115"/>
    <mergeCell ref="K117:K118"/>
    <mergeCell ref="K119:K121"/>
    <mergeCell ref="K123:K124"/>
    <mergeCell ref="K125:K127"/>
    <mergeCell ref="A3:A4"/>
    <mergeCell ref="C5:C7"/>
    <mergeCell ref="B3:B4"/>
    <mergeCell ref="A5:A7"/>
    <mergeCell ref="D3:D4"/>
    <mergeCell ref="C3:C4"/>
    <mergeCell ref="A17:A19"/>
    <mergeCell ref="C17:C19"/>
    <mergeCell ref="C11:C13"/>
    <mergeCell ref="B5:B7"/>
    <mergeCell ref="C15:C16"/>
    <mergeCell ref="K3:K4"/>
    <mergeCell ref="K5:K7"/>
    <mergeCell ref="K9:K10"/>
    <mergeCell ref="K11:K13"/>
    <mergeCell ref="K15:K16"/>
    <mergeCell ref="K17:K19"/>
    <mergeCell ref="K21:K22"/>
    <mergeCell ref="K23:K25"/>
    <mergeCell ref="K27:K28"/>
    <mergeCell ref="K57:K58"/>
    <mergeCell ref="K59:K61"/>
    <mergeCell ref="K63:K64"/>
    <mergeCell ref="K65:K67"/>
    <mergeCell ref="K69:K70"/>
    <mergeCell ref="K71:K73"/>
    <mergeCell ref="K75:K76"/>
    <mergeCell ref="K99:K100"/>
    <mergeCell ref="K77:K79"/>
    <mergeCell ref="K87:K88"/>
    <mergeCell ref="K89:K91"/>
    <mergeCell ref="K81:K82"/>
    <mergeCell ref="K83:K85"/>
    <mergeCell ref="K93:K94"/>
    <mergeCell ref="K95:K97"/>
    <mergeCell ref="K29:K31"/>
    <mergeCell ref="K33:K34"/>
    <mergeCell ref="K35:K37"/>
    <mergeCell ref="K39:K40"/>
    <mergeCell ref="K41:K43"/>
    <mergeCell ref="K45:K46"/>
    <mergeCell ref="K47:K49"/>
    <mergeCell ref="K51:K52"/>
    <mergeCell ref="K53:K55"/>
    <mergeCell ref="C9:C10"/>
    <mergeCell ref="B95:B97"/>
    <mergeCell ref="C117:C118"/>
    <mergeCell ref="A77:A79"/>
    <mergeCell ref="C99:C100"/>
    <mergeCell ref="E57:J57"/>
    <mergeCell ref="D33:D34"/>
    <mergeCell ref="B87:B88"/>
    <mergeCell ref="E81:J81"/>
    <mergeCell ref="C83:C85"/>
    <mergeCell ref="A11:A13"/>
    <mergeCell ref="A81:A82"/>
    <mergeCell ref="C81:C82"/>
    <mergeCell ref="B71:B73"/>
    <mergeCell ref="E63:J63"/>
    <mergeCell ref="B93:B94"/>
    <mergeCell ref="A45:A46"/>
    <mergeCell ref="C45:C46"/>
    <mergeCell ref="B117:B118"/>
    <mergeCell ref="A15:A16"/>
    <mergeCell ref="C29:C31"/>
    <mergeCell ref="C21:C22"/>
    <mergeCell ref="B21:B22"/>
    <mergeCell ref="A27:A28"/>
    <mergeCell ref="A65:A67"/>
    <mergeCell ref="C39:C40"/>
    <mergeCell ref="C41:C43"/>
    <mergeCell ref="A131:A133"/>
    <mergeCell ref="E15:J15"/>
    <mergeCell ref="A75:A76"/>
    <mergeCell ref="A53:A55"/>
    <mergeCell ref="B39:B40"/>
    <mergeCell ref="C75:C76"/>
    <mergeCell ref="A35:A37"/>
    <mergeCell ref="A119:A121"/>
    <mergeCell ref="B129:B130"/>
    <mergeCell ref="B123:B124"/>
    <mergeCell ref="C123:C124"/>
    <mergeCell ref="B35:B37"/>
    <mergeCell ref="B41:B43"/>
    <mergeCell ref="B27:B28"/>
    <mergeCell ref="D27:D28"/>
    <mergeCell ref="E27:J27"/>
    <mergeCell ref="E33:J33"/>
    <mergeCell ref="B51:B52"/>
    <mergeCell ref="C65:C67"/>
    <mergeCell ref="D51:D52"/>
    <mergeCell ref="D45:D46"/>
    <mergeCell ref="B131:B133"/>
    <mergeCell ref="A57:A58"/>
    <mergeCell ref="D9:D10"/>
    <mergeCell ref="C51:C52"/>
    <mergeCell ref="E93:J93"/>
    <mergeCell ref="D117:D118"/>
    <mergeCell ref="B11:B13"/>
    <mergeCell ref="A63:A64"/>
    <mergeCell ref="E21:J21"/>
    <mergeCell ref="B45:B46"/>
    <mergeCell ref="D39:D40"/>
    <mergeCell ref="C87:C88"/>
    <mergeCell ref="A9:A10"/>
    <mergeCell ref="A39:A40"/>
    <mergeCell ref="B29:B31"/>
    <mergeCell ref="B81:B82"/>
    <mergeCell ref="A71:A73"/>
    <mergeCell ref="D81:D82"/>
    <mergeCell ref="C71:C73"/>
    <mergeCell ref="A101:A103"/>
    <mergeCell ref="E117:J117"/>
    <mergeCell ref="B17:B19"/>
    <mergeCell ref="B77:B79"/>
    <mergeCell ref="B59:B61"/>
    <mergeCell ref="A129:A130"/>
    <mergeCell ref="C129:C130"/>
    <mergeCell ref="B125:B127"/>
    <mergeCell ref="B75:B76"/>
    <mergeCell ref="D129:D130"/>
    <mergeCell ref="D123:D124"/>
    <mergeCell ref="C47:C49"/>
    <mergeCell ref="E75:J75"/>
    <mergeCell ref="B33:B34"/>
    <mergeCell ref="D69:D70"/>
    <mergeCell ref="A95:A97"/>
    <mergeCell ref="A89:A91"/>
    <mergeCell ref="E123:J123"/>
    <mergeCell ref="E39:J39"/>
    <mergeCell ref="A113:A115"/>
    <mergeCell ref="A123:A124"/>
    <mergeCell ref="B119:B121"/>
    <mergeCell ref="C33:C34"/>
    <mergeCell ref="A69:A70"/>
    <mergeCell ref="B111:B112"/>
    <mergeCell ref="D111:D112"/>
    <mergeCell ref="C77:C79"/>
    <mergeCell ref="B99:B100"/>
    <mergeCell ref="E51:J51"/>
    <mergeCell ref="C125:C127"/>
    <mergeCell ref="E45:J45"/>
    <mergeCell ref="B69:B70"/>
    <mergeCell ref="E87:J87"/>
    <mergeCell ref="A125:A127"/>
    <mergeCell ref="C119:C121"/>
    <mergeCell ref="B65:B67"/>
    <mergeCell ref="A47:A49"/>
    <mergeCell ref="B89:B91"/>
    <mergeCell ref="B105:B106"/>
    <mergeCell ref="D105:D106"/>
    <mergeCell ref="A59:A61"/>
    <mergeCell ref="B57:B58"/>
    <mergeCell ref="C53:C55"/>
    <mergeCell ref="D57:D58"/>
    <mergeCell ref="B113:B115"/>
    <mergeCell ref="E105:J105"/>
    <mergeCell ref="E99:J99"/>
    <mergeCell ref="A87:A88"/>
    <mergeCell ref="B83:B85"/>
    <mergeCell ref="D75:D76"/>
    <mergeCell ref="A21:A22"/>
    <mergeCell ref="E3:J3"/>
    <mergeCell ref="A107:A109"/>
    <mergeCell ref="C107:C109"/>
    <mergeCell ref="C89:C91"/>
    <mergeCell ref="C101:C103"/>
    <mergeCell ref="B15:B16"/>
    <mergeCell ref="C105:C106"/>
    <mergeCell ref="D15:D16"/>
    <mergeCell ref="A83:A85"/>
    <mergeCell ref="C57:C58"/>
    <mergeCell ref="A33:A34"/>
    <mergeCell ref="D93:D94"/>
    <mergeCell ref="B101:B103"/>
    <mergeCell ref="A93:A94"/>
    <mergeCell ref="C35:C37"/>
    <mergeCell ref="B53:B55"/>
    <mergeCell ref="C95:C97"/>
    <mergeCell ref="D99:D100"/>
    <mergeCell ref="A51:A52"/>
    <mergeCell ref="A99:A100"/>
    <mergeCell ref="C93:C94"/>
    <mergeCell ref="D87:D88"/>
    <mergeCell ref="B47:B49"/>
    <mergeCell ref="B9:B10"/>
    <mergeCell ref="C131:C133"/>
    <mergeCell ref="D21:D22"/>
    <mergeCell ref="E9:J9"/>
    <mergeCell ref="E69:J69"/>
    <mergeCell ref="A29:A31"/>
    <mergeCell ref="A105:A106"/>
    <mergeCell ref="C63:C64"/>
    <mergeCell ref="A23:A25"/>
    <mergeCell ref="C23:C25"/>
    <mergeCell ref="B63:B64"/>
    <mergeCell ref="C59:C61"/>
    <mergeCell ref="E129:J129"/>
    <mergeCell ref="D63:D64"/>
    <mergeCell ref="E111:J111"/>
    <mergeCell ref="B23:B25"/>
    <mergeCell ref="C69:C70"/>
    <mergeCell ref="A117:A118"/>
    <mergeCell ref="A111:A112"/>
    <mergeCell ref="B107:B109"/>
    <mergeCell ref="C111:C112"/>
    <mergeCell ref="C113:C115"/>
    <mergeCell ref="C27:C28"/>
    <mergeCell ref="A41:A4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1">
    <tabColor theme="5" tint="0.39997558519241921"/>
  </sheetPr>
  <dimension ref="A1:DK137"/>
  <sheetViews>
    <sheetView tabSelected="1" topLeftCell="W6" zoomScale="70" zoomScaleNormal="70" workbookViewId="0">
      <selection activeCell="AD10" sqref="AD10"/>
    </sheetView>
  </sheetViews>
  <sheetFormatPr defaultRowHeight="15.5" outlineLevelCol="1" x14ac:dyDescent="0.3"/>
  <cols>
    <col min="1" max="1" width="28" style="62" bestFit="1" customWidth="1" outlineLevel="1"/>
    <col min="2" max="2" width="5.69921875" style="2" bestFit="1" customWidth="1" outlineLevel="1"/>
    <col min="3" max="3" width="9.69921875" style="2" bestFit="1" customWidth="1"/>
    <col min="4" max="4" width="33.3984375" style="3" bestFit="1" customWidth="1"/>
    <col min="5" max="5" width="29" style="2" bestFit="1" customWidth="1"/>
    <col min="6" max="6" width="37" style="2" bestFit="1" customWidth="1" outlineLevel="1"/>
    <col min="7" max="7" width="11.69921875" style="2" bestFit="1" customWidth="1" outlineLevel="1"/>
    <col min="8" max="8" width="24.3984375" style="2" bestFit="1" customWidth="1" outlineLevel="1"/>
    <col min="9" max="9" width="33.8984375" style="2" bestFit="1" customWidth="1" outlineLevel="1"/>
    <col min="10" max="10" width="31.8984375" style="2" bestFit="1" customWidth="1" outlineLevel="1"/>
    <col min="11" max="11" width="16.8984375" style="2" bestFit="1" customWidth="1" outlineLevel="1"/>
    <col min="12" max="12" width="1.296875" style="2" hidden="1" customWidth="1" outlineLevel="1"/>
    <col min="13" max="13" width="11.3984375" style="2" bestFit="1" customWidth="1" outlineLevel="1"/>
    <col min="14" max="20" width="9.09765625" style="46" bestFit="1" customWidth="1" outlineLevel="1"/>
    <col min="21" max="21" width="11.09765625" style="46" bestFit="1" customWidth="1" outlineLevel="1"/>
    <col min="22" max="27" width="9.09765625" style="46" bestFit="1" customWidth="1" outlineLevel="1"/>
    <col min="28" max="28" width="5.59765625" style="46" hidden="1" customWidth="1" outlineLevel="1"/>
    <col min="29" max="29" width="29.69921875" style="46" bestFit="1" customWidth="1" outlineLevel="1"/>
    <col min="30" max="33" width="7.8984375" style="46" bestFit="1" customWidth="1" outlineLevel="1"/>
    <col min="34" max="34" width="8.3984375" style="46" bestFit="1" customWidth="1" outlineLevel="1"/>
    <col min="35" max="35" width="7.8984375" style="46" bestFit="1" customWidth="1" outlineLevel="1"/>
    <col min="36" max="36" width="11.09765625" style="46" bestFit="1" customWidth="1" outlineLevel="1"/>
    <col min="37" max="42" width="7.8984375" style="46" bestFit="1" customWidth="1" outlineLevel="1"/>
    <col min="43" max="43" width="5.59765625" style="46" hidden="1" customWidth="1" outlineLevel="1"/>
    <col min="44" max="44" width="26" style="46" bestFit="1" customWidth="1" outlineLevel="1"/>
    <col min="45" max="50" width="7.8984375" style="46" bestFit="1" customWidth="1" outlineLevel="1"/>
    <col min="51" max="51" width="11.09765625" style="46" bestFit="1" customWidth="1" outlineLevel="1"/>
    <col min="52" max="52" width="7.8984375" style="46" bestFit="1" customWidth="1" outlineLevel="1"/>
    <col min="53" max="54" width="7.8984375" style="2" bestFit="1" customWidth="1" outlineLevel="1"/>
    <col min="55" max="56" width="7.8984375" style="46" bestFit="1" customWidth="1" outlineLevel="1"/>
    <col min="57" max="57" width="7.8984375" style="2" bestFit="1" customWidth="1" outlineLevel="1"/>
    <col min="58" max="58" width="5.3984375" style="2" hidden="1" customWidth="1" outlineLevel="1"/>
    <col min="59" max="59" width="20.3984375" style="2" bestFit="1" customWidth="1" outlineLevel="1"/>
    <col min="60" max="63" width="7.09765625" style="2" bestFit="1" customWidth="1" outlineLevel="1"/>
    <col min="64" max="65" width="6.296875" style="2" bestFit="1" customWidth="1" outlineLevel="1"/>
    <col min="66" max="66" width="11.09765625" style="2" bestFit="1" customWidth="1" outlineLevel="1"/>
    <col min="67" max="68" width="6.296875" style="2" bestFit="1" customWidth="1" outlineLevel="1"/>
    <col min="69" max="69" width="7.3984375" style="2" bestFit="1" customWidth="1" outlineLevel="1"/>
    <col min="70" max="70" width="9.09765625" style="2" bestFit="1" customWidth="1" outlineLevel="1"/>
    <col min="71" max="71" width="8.09765625" style="2" bestFit="1" customWidth="1" outlineLevel="1"/>
    <col min="72" max="72" width="8.3984375" style="2" bestFit="1" customWidth="1" outlineLevel="1"/>
    <col min="73" max="73" width="5.09765625" style="2" customWidth="1"/>
    <col min="74" max="74" width="8.3984375" style="2" bestFit="1" customWidth="1" collapsed="1"/>
    <col min="75" max="78" width="5.8984375" style="2" bestFit="1" customWidth="1"/>
    <col min="79" max="79" width="6" style="2" bestFit="1" customWidth="1"/>
    <col min="80" max="80" width="5.8984375" style="2" bestFit="1" customWidth="1"/>
    <col min="81" max="81" width="11.09765625" style="2" bestFit="1" customWidth="1"/>
    <col min="82" max="82" width="5.8984375" style="2" bestFit="1" customWidth="1"/>
    <col min="83" max="83" width="6.09765625" style="2" bestFit="1" customWidth="1"/>
    <col min="84" max="84" width="5.8984375" style="2" bestFit="1" customWidth="1"/>
    <col min="85" max="85" width="6.3984375" style="2" bestFit="1" customWidth="1"/>
    <col min="86" max="86" width="5.8984375" style="2" bestFit="1" customWidth="1"/>
    <col min="87" max="87" width="6.3984375" style="203" bestFit="1" customWidth="1"/>
    <col min="88" max="88" width="8.3984375" style="3" bestFit="1" customWidth="1" collapsed="1"/>
    <col min="89" max="89" width="7.09765625" style="3" bestFit="1" customWidth="1"/>
    <col min="90" max="94" width="8.3984375" style="3" bestFit="1" customWidth="1"/>
    <col min="95" max="95" width="11.09765625" style="3" bestFit="1" customWidth="1"/>
    <col min="96" max="101" width="8.3984375" style="3" bestFit="1" customWidth="1"/>
    <col min="102" max="102" width="8.3984375" style="3" bestFit="1" customWidth="1" collapsed="1"/>
    <col min="103" max="103" width="8.3984375" style="3" bestFit="1" customWidth="1"/>
    <col min="104" max="104" width="54" style="93" bestFit="1" customWidth="1"/>
    <col min="105" max="105" width="13.3984375" style="94" bestFit="1" customWidth="1"/>
    <col min="106" max="106" width="255.69921875" style="93" bestFit="1" customWidth="1"/>
    <col min="107" max="107" width="52.8984375" style="96" bestFit="1" customWidth="1"/>
    <col min="108" max="110" width="9.09765625" style="3" customWidth="1"/>
    <col min="111" max="111" width="9.09765625" style="93" customWidth="1"/>
    <col min="112" max="115" width="9.09765625" style="3" customWidth="1"/>
    <col min="116" max="310" width="9.09765625" style="2" customWidth="1"/>
    <col min="311" max="311" width="25.8984375" style="2" customWidth="1"/>
    <col min="312" max="312" width="18.296875" style="2" customWidth="1"/>
    <col min="313" max="324" width="9.8984375" style="2" customWidth="1"/>
    <col min="325" max="325" width="9.09765625" style="2" customWidth="1"/>
    <col min="326" max="331" width="12" style="2" customWidth="1"/>
    <col min="332" max="566" width="9.09765625" style="2" customWidth="1"/>
    <col min="567" max="567" width="25.8984375" style="2" customWidth="1"/>
    <col min="568" max="568" width="18.296875" style="2" customWidth="1"/>
    <col min="569" max="580" width="9.8984375" style="2" customWidth="1"/>
    <col min="581" max="581" width="9.09765625" style="2" customWidth="1"/>
    <col min="582" max="587" width="12" style="2" customWidth="1"/>
    <col min="588" max="822" width="9.09765625" style="2" customWidth="1"/>
    <col min="823" max="823" width="25.8984375" style="2" customWidth="1"/>
    <col min="824" max="824" width="18.296875" style="2" customWidth="1"/>
    <col min="825" max="836" width="9.8984375" style="2" customWidth="1"/>
    <col min="837" max="837" width="9.09765625" style="2" customWidth="1"/>
    <col min="838" max="843" width="12" style="2" customWidth="1"/>
    <col min="844" max="1078" width="9.09765625" style="2" customWidth="1"/>
    <col min="1079" max="1079" width="25.8984375" style="2" customWidth="1"/>
    <col min="1080" max="1080" width="18.296875" style="2" customWidth="1"/>
    <col min="1081" max="1092" width="9.8984375" style="2" customWidth="1"/>
    <col min="1093" max="1093" width="9.09765625" style="2" customWidth="1"/>
    <col min="1094" max="1099" width="12" style="2" customWidth="1"/>
    <col min="1100" max="1334" width="9.09765625" style="2" customWidth="1"/>
    <col min="1335" max="1335" width="25.8984375" style="2" customWidth="1"/>
    <col min="1336" max="1336" width="18.296875" style="2" customWidth="1"/>
    <col min="1337" max="1348" width="9.8984375" style="2" customWidth="1"/>
    <col min="1349" max="1349" width="9.09765625" style="2" customWidth="1"/>
    <col min="1350" max="1355" width="12" style="2" customWidth="1"/>
    <col min="1356" max="1590" width="9.09765625" style="2" customWidth="1"/>
    <col min="1591" max="1591" width="25.8984375" style="2" customWidth="1"/>
    <col min="1592" max="1592" width="18.296875" style="2" customWidth="1"/>
    <col min="1593" max="1604" width="9.8984375" style="2" customWidth="1"/>
    <col min="1605" max="1605" width="9.09765625" style="2" customWidth="1"/>
    <col min="1606" max="1611" width="12" style="2" customWidth="1"/>
    <col min="1612" max="1846" width="9.09765625" style="2" customWidth="1"/>
    <col min="1847" max="1847" width="25.8984375" style="2" customWidth="1"/>
    <col min="1848" max="1848" width="18.296875" style="2" customWidth="1"/>
    <col min="1849" max="1860" width="9.8984375" style="2" customWidth="1"/>
    <col min="1861" max="1861" width="9.09765625" style="2" customWidth="1"/>
    <col min="1862" max="1867" width="12" style="2" customWidth="1"/>
    <col min="1868" max="2102" width="9.09765625" style="2" customWidth="1"/>
    <col min="2103" max="2103" width="25.8984375" style="2" customWidth="1"/>
    <col min="2104" max="2104" width="18.296875" style="2" customWidth="1"/>
    <col min="2105" max="2116" width="9.8984375" style="2" customWidth="1"/>
    <col min="2117" max="2117" width="9.09765625" style="2" customWidth="1"/>
    <col min="2118" max="2123" width="12" style="2" customWidth="1"/>
    <col min="2124" max="2358" width="9.09765625" style="2" customWidth="1"/>
    <col min="2359" max="2359" width="25.8984375" style="2" customWidth="1"/>
    <col min="2360" max="2360" width="18.296875" style="2" customWidth="1"/>
    <col min="2361" max="2372" width="9.8984375" style="2" customWidth="1"/>
    <col min="2373" max="2373" width="9.09765625" style="2" customWidth="1"/>
    <col min="2374" max="2379" width="12" style="2" customWidth="1"/>
    <col min="2380" max="2614" width="9.09765625" style="2" customWidth="1"/>
    <col min="2615" max="2615" width="25.8984375" style="2" customWidth="1"/>
    <col min="2616" max="2616" width="18.296875" style="2" customWidth="1"/>
    <col min="2617" max="2628" width="9.8984375" style="2" customWidth="1"/>
    <col min="2629" max="2629" width="9.09765625" style="2" customWidth="1"/>
    <col min="2630" max="2635" width="12" style="2" customWidth="1"/>
    <col min="2636" max="2870" width="9.09765625" style="2" customWidth="1"/>
    <col min="2871" max="2871" width="25.8984375" style="2" customWidth="1"/>
    <col min="2872" max="2872" width="18.296875" style="2" customWidth="1"/>
    <col min="2873" max="2884" width="9.8984375" style="2" customWidth="1"/>
    <col min="2885" max="2885" width="9.09765625" style="2" customWidth="1"/>
    <col min="2886" max="2891" width="12" style="2" customWidth="1"/>
    <col min="2892" max="3126" width="9.09765625" style="2" customWidth="1"/>
    <col min="3127" max="3127" width="25.8984375" style="2" customWidth="1"/>
    <col min="3128" max="3128" width="18.296875" style="2" customWidth="1"/>
    <col min="3129" max="3140" width="9.8984375" style="2" customWidth="1"/>
    <col min="3141" max="3141" width="9.09765625" style="2" customWidth="1"/>
    <col min="3142" max="3147" width="12" style="2" customWidth="1"/>
    <col min="3148" max="3382" width="9.09765625" style="2" customWidth="1"/>
    <col min="3383" max="3383" width="25.8984375" style="2" customWidth="1"/>
    <col min="3384" max="3384" width="18.296875" style="2" customWidth="1"/>
    <col min="3385" max="3396" width="9.8984375" style="2" customWidth="1"/>
    <col min="3397" max="3397" width="9.09765625" style="2" customWidth="1"/>
    <col min="3398" max="3403" width="12" style="2" customWidth="1"/>
    <col min="3404" max="3638" width="9.09765625" style="2" customWidth="1"/>
    <col min="3639" max="3639" width="25.8984375" style="2" customWidth="1"/>
    <col min="3640" max="3640" width="18.296875" style="2" customWidth="1"/>
    <col min="3641" max="3652" width="9.8984375" style="2" customWidth="1"/>
    <col min="3653" max="3653" width="9.09765625" style="2" customWidth="1"/>
    <col min="3654" max="3659" width="12" style="2" customWidth="1"/>
    <col min="3660" max="3894" width="9.09765625" style="2" customWidth="1"/>
    <col min="3895" max="3895" width="25.8984375" style="2" customWidth="1"/>
    <col min="3896" max="3896" width="18.296875" style="2" customWidth="1"/>
    <col min="3897" max="3908" width="9.8984375" style="2" customWidth="1"/>
    <col min="3909" max="3909" width="9.09765625" style="2" customWidth="1"/>
    <col min="3910" max="3915" width="12" style="2" customWidth="1"/>
    <col min="3916" max="4150" width="9.09765625" style="2" customWidth="1"/>
    <col min="4151" max="4151" width="25.8984375" style="2" customWidth="1"/>
    <col min="4152" max="4152" width="18.296875" style="2" customWidth="1"/>
    <col min="4153" max="4164" width="9.8984375" style="2" customWidth="1"/>
    <col min="4165" max="4165" width="9.09765625" style="2" customWidth="1"/>
    <col min="4166" max="4171" width="12" style="2" customWidth="1"/>
    <col min="4172" max="4406" width="9.09765625" style="2" customWidth="1"/>
    <col min="4407" max="4407" width="25.8984375" style="2" customWidth="1"/>
    <col min="4408" max="4408" width="18.296875" style="2" customWidth="1"/>
    <col min="4409" max="4420" width="9.8984375" style="2" customWidth="1"/>
    <col min="4421" max="4421" width="9.09765625" style="2" customWidth="1"/>
    <col min="4422" max="4427" width="12" style="2" customWidth="1"/>
    <col min="4428" max="4662" width="9.09765625" style="2" customWidth="1"/>
    <col min="4663" max="4663" width="25.8984375" style="2" customWidth="1"/>
    <col min="4664" max="4664" width="18.296875" style="2" customWidth="1"/>
    <col min="4665" max="4676" width="9.8984375" style="2" customWidth="1"/>
    <col min="4677" max="4677" width="9.09765625" style="2" customWidth="1"/>
    <col min="4678" max="4683" width="12" style="2" customWidth="1"/>
    <col min="4684" max="4918" width="9.09765625" style="2" customWidth="1"/>
    <col min="4919" max="4919" width="25.8984375" style="2" customWidth="1"/>
    <col min="4920" max="4920" width="18.296875" style="2" customWidth="1"/>
    <col min="4921" max="4932" width="9.8984375" style="2" customWidth="1"/>
    <col min="4933" max="4933" width="9.09765625" style="2" customWidth="1"/>
    <col min="4934" max="4939" width="12" style="2" customWidth="1"/>
    <col min="4940" max="5174" width="9.09765625" style="2" customWidth="1"/>
    <col min="5175" max="5175" width="25.8984375" style="2" customWidth="1"/>
    <col min="5176" max="5176" width="18.296875" style="2" customWidth="1"/>
    <col min="5177" max="5188" width="9.8984375" style="2" customWidth="1"/>
    <col min="5189" max="5189" width="9.09765625" style="2" customWidth="1"/>
    <col min="5190" max="5195" width="12" style="2" customWidth="1"/>
    <col min="5196" max="5430" width="9.09765625" style="2" customWidth="1"/>
    <col min="5431" max="5431" width="25.8984375" style="2" customWidth="1"/>
    <col min="5432" max="5432" width="18.296875" style="2" customWidth="1"/>
    <col min="5433" max="5444" width="9.8984375" style="2" customWidth="1"/>
    <col min="5445" max="5445" width="9.09765625" style="2" customWidth="1"/>
    <col min="5446" max="5451" width="12" style="2" customWidth="1"/>
    <col min="5452" max="5686" width="9.09765625" style="2" customWidth="1"/>
    <col min="5687" max="5687" width="25.8984375" style="2" customWidth="1"/>
    <col min="5688" max="5688" width="18.296875" style="2" customWidth="1"/>
    <col min="5689" max="5700" width="9.8984375" style="2" customWidth="1"/>
    <col min="5701" max="5701" width="9.09765625" style="2" customWidth="1"/>
    <col min="5702" max="5707" width="12" style="2" customWidth="1"/>
    <col min="5708" max="5942" width="9.09765625" style="2" customWidth="1"/>
    <col min="5943" max="5943" width="25.8984375" style="2" customWidth="1"/>
    <col min="5944" max="5944" width="18.296875" style="2" customWidth="1"/>
    <col min="5945" max="5956" width="9.8984375" style="2" customWidth="1"/>
    <col min="5957" max="5957" width="9.09765625" style="2" customWidth="1"/>
    <col min="5958" max="5963" width="12" style="2" customWidth="1"/>
    <col min="5964" max="6198" width="9.09765625" style="2" customWidth="1"/>
    <col min="6199" max="6199" width="25.8984375" style="2" customWidth="1"/>
    <col min="6200" max="6200" width="18.296875" style="2" customWidth="1"/>
    <col min="6201" max="6212" width="9.8984375" style="2" customWidth="1"/>
    <col min="6213" max="6213" width="9.09765625" style="2" customWidth="1"/>
    <col min="6214" max="6219" width="12" style="2" customWidth="1"/>
    <col min="6220" max="6454" width="9.09765625" style="2" customWidth="1"/>
    <col min="6455" max="6455" width="25.8984375" style="2" customWidth="1"/>
    <col min="6456" max="6456" width="18.296875" style="2" customWidth="1"/>
    <col min="6457" max="6468" width="9.8984375" style="2" customWidth="1"/>
    <col min="6469" max="6469" width="9.09765625" style="2" customWidth="1"/>
    <col min="6470" max="6475" width="12" style="2" customWidth="1"/>
    <col min="6476" max="6710" width="9.09765625" style="2" customWidth="1"/>
    <col min="6711" max="6711" width="25.8984375" style="2" customWidth="1"/>
    <col min="6712" max="6712" width="18.296875" style="2" customWidth="1"/>
    <col min="6713" max="6724" width="9.8984375" style="2" customWidth="1"/>
    <col min="6725" max="6725" width="9.09765625" style="2" customWidth="1"/>
    <col min="6726" max="6731" width="12" style="2" customWidth="1"/>
    <col min="6732" max="6966" width="9.09765625" style="2" customWidth="1"/>
    <col min="6967" max="6967" width="25.8984375" style="2" customWidth="1"/>
    <col min="6968" max="6968" width="18.296875" style="2" customWidth="1"/>
    <col min="6969" max="6980" width="9.8984375" style="2" customWidth="1"/>
    <col min="6981" max="6981" width="9.09765625" style="2" customWidth="1"/>
    <col min="6982" max="6987" width="12" style="2" customWidth="1"/>
    <col min="6988" max="7222" width="9.09765625" style="2" customWidth="1"/>
    <col min="7223" max="7223" width="25.8984375" style="2" customWidth="1"/>
    <col min="7224" max="7224" width="18.296875" style="2" customWidth="1"/>
    <col min="7225" max="7236" width="9.8984375" style="2" customWidth="1"/>
    <col min="7237" max="7237" width="9.09765625" style="2" customWidth="1"/>
    <col min="7238" max="7243" width="12" style="2" customWidth="1"/>
    <col min="7244" max="7478" width="9.09765625" style="2" customWidth="1"/>
    <col min="7479" max="7479" width="25.8984375" style="2" customWidth="1"/>
    <col min="7480" max="7480" width="18.296875" style="2" customWidth="1"/>
    <col min="7481" max="7492" width="9.8984375" style="2" customWidth="1"/>
    <col min="7493" max="7493" width="9.09765625" style="2" customWidth="1"/>
    <col min="7494" max="7499" width="12" style="2" customWidth="1"/>
    <col min="7500" max="7734" width="9.09765625" style="2" customWidth="1"/>
    <col min="7735" max="7735" width="25.8984375" style="2" customWidth="1"/>
    <col min="7736" max="7736" width="18.296875" style="2" customWidth="1"/>
    <col min="7737" max="7748" width="9.8984375" style="2" customWidth="1"/>
    <col min="7749" max="7749" width="9.09765625" style="2" customWidth="1"/>
    <col min="7750" max="7755" width="12" style="2" customWidth="1"/>
    <col min="7756" max="7990" width="9.09765625" style="2" customWidth="1"/>
    <col min="7991" max="7991" width="25.8984375" style="2" customWidth="1"/>
    <col min="7992" max="7992" width="18.296875" style="2" customWidth="1"/>
    <col min="7993" max="8004" width="9.8984375" style="2" customWidth="1"/>
    <col min="8005" max="8005" width="9.09765625" style="2" customWidth="1"/>
    <col min="8006" max="8011" width="12" style="2" customWidth="1"/>
    <col min="8012" max="8246" width="9.09765625" style="2" customWidth="1"/>
    <col min="8247" max="8247" width="25.8984375" style="2" customWidth="1"/>
    <col min="8248" max="8248" width="18.296875" style="2" customWidth="1"/>
    <col min="8249" max="8260" width="9.8984375" style="2" customWidth="1"/>
    <col min="8261" max="8261" width="9.09765625" style="2" customWidth="1"/>
    <col min="8262" max="8267" width="12" style="2" customWidth="1"/>
    <col min="8268" max="8502" width="9.09765625" style="2" customWidth="1"/>
    <col min="8503" max="8503" width="25.8984375" style="2" customWidth="1"/>
    <col min="8504" max="8504" width="18.296875" style="2" customWidth="1"/>
    <col min="8505" max="8516" width="9.8984375" style="2" customWidth="1"/>
    <col min="8517" max="8517" width="9.09765625" style="2" customWidth="1"/>
    <col min="8518" max="8523" width="12" style="2" customWidth="1"/>
    <col min="8524" max="8758" width="9.09765625" style="2" customWidth="1"/>
    <col min="8759" max="8759" width="25.8984375" style="2" customWidth="1"/>
    <col min="8760" max="8760" width="18.296875" style="2" customWidth="1"/>
    <col min="8761" max="8772" width="9.8984375" style="2" customWidth="1"/>
    <col min="8773" max="8773" width="9.09765625" style="2" customWidth="1"/>
    <col min="8774" max="8779" width="12" style="2" customWidth="1"/>
    <col min="8780" max="9014" width="9.09765625" style="2" customWidth="1"/>
    <col min="9015" max="9015" width="25.8984375" style="2" customWidth="1"/>
    <col min="9016" max="9016" width="18.296875" style="2" customWidth="1"/>
    <col min="9017" max="9028" width="9.8984375" style="2" customWidth="1"/>
    <col min="9029" max="9029" width="9.09765625" style="2" customWidth="1"/>
    <col min="9030" max="9035" width="12" style="2" customWidth="1"/>
    <col min="9036" max="9270" width="9.09765625" style="2" customWidth="1"/>
    <col min="9271" max="9271" width="25.8984375" style="2" customWidth="1"/>
    <col min="9272" max="9272" width="18.296875" style="2" customWidth="1"/>
    <col min="9273" max="9284" width="9.8984375" style="2" customWidth="1"/>
    <col min="9285" max="9285" width="9.09765625" style="2" customWidth="1"/>
    <col min="9286" max="9291" width="12" style="2" customWidth="1"/>
    <col min="9292" max="9526" width="9.09765625" style="2" customWidth="1"/>
    <col min="9527" max="9527" width="25.8984375" style="2" customWidth="1"/>
    <col min="9528" max="9528" width="18.296875" style="2" customWidth="1"/>
    <col min="9529" max="9540" width="9.8984375" style="2" customWidth="1"/>
    <col min="9541" max="9541" width="9.09765625" style="2" customWidth="1"/>
    <col min="9542" max="9547" width="12" style="2" customWidth="1"/>
    <col min="9548" max="9782" width="9.09765625" style="2" customWidth="1"/>
    <col min="9783" max="9783" width="25.8984375" style="2" customWidth="1"/>
    <col min="9784" max="9784" width="18.296875" style="2" customWidth="1"/>
    <col min="9785" max="9796" width="9.8984375" style="2" customWidth="1"/>
    <col min="9797" max="9797" width="9.09765625" style="2" customWidth="1"/>
    <col min="9798" max="9803" width="12" style="2" customWidth="1"/>
    <col min="9804" max="10038" width="9.09765625" style="2" customWidth="1"/>
    <col min="10039" max="10039" width="25.8984375" style="2" customWidth="1"/>
    <col min="10040" max="10040" width="18.296875" style="2" customWidth="1"/>
    <col min="10041" max="10052" width="9.8984375" style="2" customWidth="1"/>
    <col min="10053" max="10053" width="9.09765625" style="2" customWidth="1"/>
    <col min="10054" max="10059" width="12" style="2" customWidth="1"/>
    <col min="10060" max="10294" width="9.09765625" style="2" customWidth="1"/>
    <col min="10295" max="10295" width="25.8984375" style="2" customWidth="1"/>
    <col min="10296" max="10296" width="18.296875" style="2" customWidth="1"/>
    <col min="10297" max="10308" width="9.8984375" style="2" customWidth="1"/>
    <col min="10309" max="10309" width="9.09765625" style="2" customWidth="1"/>
    <col min="10310" max="10315" width="12" style="2" customWidth="1"/>
    <col min="10316" max="10550" width="9.09765625" style="2" customWidth="1"/>
    <col min="10551" max="10551" width="25.8984375" style="2" customWidth="1"/>
    <col min="10552" max="10552" width="18.296875" style="2" customWidth="1"/>
    <col min="10553" max="10564" width="9.8984375" style="2" customWidth="1"/>
    <col min="10565" max="10565" width="9.09765625" style="2" customWidth="1"/>
    <col min="10566" max="10571" width="12" style="2" customWidth="1"/>
    <col min="10572" max="10806" width="9.09765625" style="2" customWidth="1"/>
    <col min="10807" max="10807" width="25.8984375" style="2" customWidth="1"/>
    <col min="10808" max="10808" width="18.296875" style="2" customWidth="1"/>
    <col min="10809" max="10820" width="9.8984375" style="2" customWidth="1"/>
    <col min="10821" max="10821" width="9.09765625" style="2" customWidth="1"/>
    <col min="10822" max="10827" width="12" style="2" customWidth="1"/>
    <col min="10828" max="11062" width="9.09765625" style="2" customWidth="1"/>
    <col min="11063" max="11063" width="25.8984375" style="2" customWidth="1"/>
    <col min="11064" max="11064" width="18.296875" style="2" customWidth="1"/>
    <col min="11065" max="11076" width="9.8984375" style="2" customWidth="1"/>
    <col min="11077" max="11077" width="9.09765625" style="2" customWidth="1"/>
    <col min="11078" max="11083" width="12" style="2" customWidth="1"/>
    <col min="11084" max="11318" width="9.09765625" style="2" customWidth="1"/>
    <col min="11319" max="11319" width="25.8984375" style="2" customWidth="1"/>
    <col min="11320" max="11320" width="18.296875" style="2" customWidth="1"/>
    <col min="11321" max="11332" width="9.8984375" style="2" customWidth="1"/>
    <col min="11333" max="11333" width="9.09765625" style="2" customWidth="1"/>
    <col min="11334" max="11339" width="12" style="2" customWidth="1"/>
    <col min="11340" max="11574" width="9.09765625" style="2" customWidth="1"/>
    <col min="11575" max="11575" width="25.8984375" style="2" customWidth="1"/>
    <col min="11576" max="11576" width="18.296875" style="2" customWidth="1"/>
    <col min="11577" max="11588" width="9.8984375" style="2" customWidth="1"/>
    <col min="11589" max="11589" width="9.09765625" style="2" customWidth="1"/>
    <col min="11590" max="11595" width="12" style="2" customWidth="1"/>
    <col min="11596" max="11830" width="9.09765625" style="2" customWidth="1"/>
    <col min="11831" max="11831" width="25.8984375" style="2" customWidth="1"/>
    <col min="11832" max="11832" width="18.296875" style="2" customWidth="1"/>
    <col min="11833" max="11844" width="9.8984375" style="2" customWidth="1"/>
    <col min="11845" max="11845" width="9.09765625" style="2" customWidth="1"/>
    <col min="11846" max="11851" width="12" style="2" customWidth="1"/>
    <col min="11852" max="12086" width="9.09765625" style="2" customWidth="1"/>
    <col min="12087" max="12087" width="25.8984375" style="2" customWidth="1"/>
    <col min="12088" max="12088" width="18.296875" style="2" customWidth="1"/>
    <col min="12089" max="12100" width="9.8984375" style="2" customWidth="1"/>
    <col min="12101" max="12101" width="9.09765625" style="2" customWidth="1"/>
    <col min="12102" max="12107" width="12" style="2" customWidth="1"/>
    <col min="12108" max="12342" width="9.09765625" style="2" customWidth="1"/>
    <col min="12343" max="12343" width="25.8984375" style="2" customWidth="1"/>
    <col min="12344" max="12344" width="18.296875" style="2" customWidth="1"/>
    <col min="12345" max="12356" width="9.8984375" style="2" customWidth="1"/>
    <col min="12357" max="12357" width="9.09765625" style="2" customWidth="1"/>
    <col min="12358" max="12363" width="12" style="2" customWidth="1"/>
    <col min="12364" max="12598" width="9.09765625" style="2" customWidth="1"/>
    <col min="12599" max="12599" width="25.8984375" style="2" customWidth="1"/>
    <col min="12600" max="12600" width="18.296875" style="2" customWidth="1"/>
    <col min="12601" max="12612" width="9.8984375" style="2" customWidth="1"/>
    <col min="12613" max="12613" width="9.09765625" style="2" customWidth="1"/>
    <col min="12614" max="12619" width="12" style="2" customWidth="1"/>
    <col min="12620" max="12854" width="9.09765625" style="2" customWidth="1"/>
    <col min="12855" max="12855" width="25.8984375" style="2" customWidth="1"/>
    <col min="12856" max="12856" width="18.296875" style="2" customWidth="1"/>
    <col min="12857" max="12868" width="9.8984375" style="2" customWidth="1"/>
    <col min="12869" max="12869" width="9.09765625" style="2" customWidth="1"/>
    <col min="12870" max="12875" width="12" style="2" customWidth="1"/>
    <col min="12876" max="13110" width="9.09765625" style="2" customWidth="1"/>
    <col min="13111" max="13111" width="25.8984375" style="2" customWidth="1"/>
    <col min="13112" max="13112" width="18.296875" style="2" customWidth="1"/>
    <col min="13113" max="13124" width="9.8984375" style="2" customWidth="1"/>
    <col min="13125" max="13125" width="9.09765625" style="2" customWidth="1"/>
    <col min="13126" max="13131" width="12" style="2" customWidth="1"/>
    <col min="13132" max="13366" width="9.09765625" style="2" customWidth="1"/>
    <col min="13367" max="13367" width="25.8984375" style="2" customWidth="1"/>
    <col min="13368" max="13368" width="18.296875" style="2" customWidth="1"/>
    <col min="13369" max="13380" width="9.8984375" style="2" customWidth="1"/>
    <col min="13381" max="13381" width="9.09765625" style="2" customWidth="1"/>
    <col min="13382" max="13387" width="12" style="2" customWidth="1"/>
    <col min="13388" max="13622" width="9.09765625" style="2" customWidth="1"/>
    <col min="13623" max="13623" width="25.8984375" style="2" customWidth="1"/>
    <col min="13624" max="13624" width="18.296875" style="2" customWidth="1"/>
    <col min="13625" max="13636" width="9.8984375" style="2" customWidth="1"/>
    <col min="13637" max="13637" width="9.09765625" style="2" customWidth="1"/>
    <col min="13638" max="13643" width="12" style="2" customWidth="1"/>
    <col min="13644" max="13878" width="9.09765625" style="2" customWidth="1"/>
    <col min="13879" max="13879" width="25.8984375" style="2" customWidth="1"/>
    <col min="13880" max="13880" width="18.296875" style="2" customWidth="1"/>
    <col min="13881" max="13892" width="9.8984375" style="2" customWidth="1"/>
    <col min="13893" max="13893" width="9.09765625" style="2" customWidth="1"/>
    <col min="13894" max="13899" width="12" style="2" customWidth="1"/>
    <col min="13900" max="14134" width="9.09765625" style="2" customWidth="1"/>
    <col min="14135" max="14135" width="25.8984375" style="2" customWidth="1"/>
    <col min="14136" max="14136" width="18.296875" style="2" customWidth="1"/>
    <col min="14137" max="14148" width="9.8984375" style="2" customWidth="1"/>
    <col min="14149" max="14149" width="9.09765625" style="2" customWidth="1"/>
    <col min="14150" max="14155" width="12" style="2" customWidth="1"/>
    <col min="14156" max="14390" width="9.09765625" style="2" customWidth="1"/>
    <col min="14391" max="14391" width="25.8984375" style="2" customWidth="1"/>
    <col min="14392" max="14392" width="18.296875" style="2" customWidth="1"/>
    <col min="14393" max="14404" width="9.8984375" style="2" customWidth="1"/>
    <col min="14405" max="14405" width="9.09765625" style="2" customWidth="1"/>
    <col min="14406" max="14411" width="12" style="2" customWidth="1"/>
    <col min="14412" max="14646" width="9.09765625" style="2" customWidth="1"/>
    <col min="14647" max="14647" width="25.8984375" style="2" customWidth="1"/>
    <col min="14648" max="14648" width="18.296875" style="2" customWidth="1"/>
    <col min="14649" max="14660" width="9.8984375" style="2" customWidth="1"/>
    <col min="14661" max="14661" width="9.09765625" style="2" customWidth="1"/>
    <col min="14662" max="14667" width="12" style="2" customWidth="1"/>
    <col min="14668" max="14902" width="9.09765625" style="2" customWidth="1"/>
    <col min="14903" max="14903" width="25.8984375" style="2" customWidth="1"/>
    <col min="14904" max="14904" width="18.296875" style="2" customWidth="1"/>
    <col min="14905" max="14916" width="9.8984375" style="2" customWidth="1"/>
    <col min="14917" max="14917" width="9.09765625" style="2" customWidth="1"/>
    <col min="14918" max="14923" width="12" style="2" customWidth="1"/>
    <col min="14924" max="15158" width="9.09765625" style="2" customWidth="1"/>
    <col min="15159" max="15159" width="25.8984375" style="2" customWidth="1"/>
    <col min="15160" max="15160" width="18.296875" style="2" customWidth="1"/>
    <col min="15161" max="15172" width="9.8984375" style="2" customWidth="1"/>
    <col min="15173" max="15173" width="9.09765625" style="2" customWidth="1"/>
    <col min="15174" max="15179" width="12" style="2" customWidth="1"/>
    <col min="15180" max="15414" width="9.09765625" style="2" customWidth="1"/>
    <col min="15415" max="15415" width="25.8984375" style="2" customWidth="1"/>
    <col min="15416" max="15416" width="18.296875" style="2" customWidth="1"/>
    <col min="15417" max="15428" width="9.8984375" style="2" customWidth="1"/>
    <col min="15429" max="15429" width="9.09765625" style="2" customWidth="1"/>
    <col min="15430" max="15435" width="12" style="2" customWidth="1"/>
    <col min="15436" max="15670" width="9.09765625" style="2" customWidth="1"/>
    <col min="15671" max="15671" width="25.8984375" style="2" customWidth="1"/>
    <col min="15672" max="15672" width="18.296875" style="2" customWidth="1"/>
    <col min="15673" max="15684" width="9.8984375" style="2" customWidth="1"/>
    <col min="15685" max="15685" width="9.09765625" style="2" customWidth="1"/>
    <col min="15686" max="15691" width="12" style="2" customWidth="1"/>
    <col min="15692" max="15926" width="9.09765625" style="2" customWidth="1"/>
    <col min="15927" max="15927" width="25.8984375" style="2" customWidth="1"/>
    <col min="15928" max="15928" width="18.296875" style="2" customWidth="1"/>
    <col min="15929" max="15940" width="9.8984375" style="2" customWidth="1"/>
    <col min="15941" max="15941" width="9.09765625" style="2" customWidth="1"/>
    <col min="15942" max="15947" width="12" style="2" customWidth="1"/>
    <col min="15948" max="16182" width="9.09765625" style="2" customWidth="1"/>
    <col min="16183" max="16183" width="25.8984375" style="2" customWidth="1"/>
    <col min="16184" max="16184" width="18.296875" style="2" customWidth="1"/>
    <col min="16185" max="16196" width="9.8984375" style="2" customWidth="1"/>
    <col min="16197" max="16197" width="9.09765625" style="2" customWidth="1"/>
    <col min="16198" max="16203" width="12" style="2" customWidth="1"/>
    <col min="16204" max="16384" width="9.09765625" style="2" customWidth="1"/>
  </cols>
  <sheetData>
    <row r="1" spans="1:107" x14ac:dyDescent="0.3">
      <c r="AC1" s="101"/>
      <c r="AD1" s="103">
        <v>5.2222395697805603E-2</v>
      </c>
      <c r="AE1" s="102">
        <v>9.2406823840647387</v>
      </c>
      <c r="AF1" s="102">
        <v>8.6588079676314997</v>
      </c>
      <c r="AG1" s="102">
        <v>8.3453450824774364</v>
      </c>
      <c r="AH1" s="102">
        <v>10.3805341581077</v>
      </c>
      <c r="AI1" s="102">
        <v>9.1505213196389619</v>
      </c>
      <c r="AJ1" s="72"/>
      <c r="AK1" s="72"/>
      <c r="AL1" s="72"/>
      <c r="AM1" s="72"/>
      <c r="AN1" s="72"/>
      <c r="AO1" s="72"/>
      <c r="AP1" s="72"/>
      <c r="BV1" s="48">
        <v>0</v>
      </c>
      <c r="BW1" s="48">
        <v>1</v>
      </c>
      <c r="BX1" s="48">
        <v>2</v>
      </c>
      <c r="BY1" s="48">
        <v>3</v>
      </c>
      <c r="BZ1" s="48">
        <v>4</v>
      </c>
      <c r="CA1" s="48">
        <v>5</v>
      </c>
      <c r="CB1" s="48">
        <v>6</v>
      </c>
      <c r="CC1" s="48">
        <v>7</v>
      </c>
      <c r="CD1" s="48">
        <v>8</v>
      </c>
      <c r="CE1" s="48">
        <v>9</v>
      </c>
      <c r="CF1" s="48">
        <v>10</v>
      </c>
      <c r="CG1" s="48">
        <v>11</v>
      </c>
      <c r="CH1" s="48">
        <v>12</v>
      </c>
      <c r="CI1" s="203">
        <v>13</v>
      </c>
      <c r="CZ1" s="92">
        <v>57</v>
      </c>
      <c r="DA1" s="92"/>
    </row>
    <row r="2" spans="1:107" ht="17.5" x14ac:dyDescent="0.3">
      <c r="D2" s="349" t="s">
        <v>70</v>
      </c>
      <c r="E2" s="350"/>
      <c r="F2" s="350"/>
      <c r="G2" s="350"/>
      <c r="AC2" s="101"/>
      <c r="AD2" s="103"/>
      <c r="AE2" s="102"/>
      <c r="AF2" s="102"/>
      <c r="AG2" s="102"/>
      <c r="AH2" s="102"/>
      <c r="AI2" s="102"/>
      <c r="AJ2" s="72"/>
      <c r="AK2" s="72"/>
      <c r="AL2" s="72"/>
      <c r="AM2" s="72"/>
      <c r="AN2" s="72"/>
      <c r="AO2" s="72"/>
      <c r="AP2" s="72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Z2" s="92"/>
      <c r="DA2" s="92"/>
      <c r="DB2" s="191" t="s">
        <v>71</v>
      </c>
    </row>
    <row r="3" spans="1:107" x14ac:dyDescent="0.3">
      <c r="D3" s="354" t="s">
        <v>72</v>
      </c>
      <c r="E3" s="350"/>
      <c r="F3" s="350"/>
      <c r="G3" s="350"/>
      <c r="AC3" s="101"/>
      <c r="AD3" s="103"/>
      <c r="AE3" s="102"/>
      <c r="AF3" s="102"/>
      <c r="AG3" s="102"/>
      <c r="AH3" s="102"/>
      <c r="AI3" s="102"/>
      <c r="AJ3" s="72"/>
      <c r="AK3" s="72"/>
      <c r="AL3" s="72"/>
      <c r="AM3" s="72"/>
      <c r="AN3" s="72"/>
      <c r="AO3" s="72"/>
      <c r="AP3" s="72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Z3" s="92"/>
      <c r="DA3" s="92"/>
    </row>
    <row r="4" spans="1:107" x14ac:dyDescent="0.3">
      <c r="D4" s="194"/>
      <c r="E4" s="194"/>
      <c r="F4" s="194"/>
      <c r="G4" s="194"/>
      <c r="AC4" s="101"/>
      <c r="AD4" s="103"/>
      <c r="AE4" s="102"/>
      <c r="AF4" s="102"/>
      <c r="AG4" s="102"/>
      <c r="AH4" s="102"/>
      <c r="AI4" s="102"/>
      <c r="AJ4" s="72"/>
      <c r="AK4" s="72"/>
      <c r="AL4" s="72"/>
      <c r="AM4" s="72"/>
      <c r="AN4" s="72"/>
      <c r="AO4" s="72"/>
      <c r="AP4" s="72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Z4" s="92"/>
      <c r="DA4" s="92"/>
    </row>
    <row r="5" spans="1:107" x14ac:dyDescent="0.3">
      <c r="D5" s="195" t="s">
        <v>73</v>
      </c>
      <c r="E5" s="192" t="s">
        <v>74</v>
      </c>
      <c r="F5" s="196"/>
      <c r="G5" s="196"/>
      <c r="AC5" s="101"/>
      <c r="AD5" s="103"/>
      <c r="AE5" s="102"/>
      <c r="AF5" s="102"/>
      <c r="AG5" s="102"/>
      <c r="AH5" s="102"/>
      <c r="AI5" s="102"/>
      <c r="AJ5" s="72"/>
      <c r="AK5" s="72"/>
      <c r="AL5" s="72"/>
      <c r="AM5" s="72"/>
      <c r="AN5" s="72"/>
      <c r="AO5" s="72"/>
      <c r="AP5" s="72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Z5" s="92"/>
      <c r="DA5" s="92"/>
    </row>
    <row r="6" spans="1:107" x14ac:dyDescent="0.3">
      <c r="D6" s="197" t="s">
        <v>70</v>
      </c>
      <c r="E6" s="193" t="s">
        <v>72</v>
      </c>
      <c r="F6" s="196"/>
      <c r="G6" s="196"/>
      <c r="AC6" s="101"/>
      <c r="AD6" s="103"/>
      <c r="AE6" s="102"/>
      <c r="AF6" s="102"/>
      <c r="AG6" s="102"/>
      <c r="AH6" s="102"/>
      <c r="AI6" s="102"/>
      <c r="AJ6" s="72"/>
      <c r="AK6" s="72"/>
      <c r="AL6" s="72"/>
      <c r="AM6" s="72"/>
      <c r="AN6" s="72"/>
      <c r="AO6" s="72"/>
      <c r="AP6" s="72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Z6" s="92"/>
      <c r="DA6" s="92"/>
    </row>
    <row r="7" spans="1:107" x14ac:dyDescent="0.3">
      <c r="D7" s="198" t="s">
        <v>75</v>
      </c>
      <c r="AC7" s="101"/>
      <c r="AD7" s="103"/>
      <c r="AE7" s="102"/>
      <c r="AF7" s="102"/>
      <c r="AG7" s="102"/>
      <c r="AH7" s="102"/>
      <c r="AI7" s="102"/>
      <c r="AJ7" s="72"/>
      <c r="AK7" s="72"/>
      <c r="AL7" s="72"/>
      <c r="AM7" s="72"/>
      <c r="AN7" s="72"/>
      <c r="AO7" s="72"/>
      <c r="AP7" s="72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Z7" s="92"/>
      <c r="DA7" s="92"/>
    </row>
    <row r="8" spans="1:107" ht="16" thickBot="1" x14ac:dyDescent="0.35">
      <c r="AC8" s="101"/>
      <c r="AD8" s="103"/>
      <c r="AE8" s="102"/>
      <c r="AF8" s="102"/>
      <c r="AG8" s="102"/>
      <c r="AH8" s="102"/>
      <c r="AI8" s="102"/>
      <c r="AJ8" s="72"/>
      <c r="AK8" s="72"/>
      <c r="AL8" s="72"/>
      <c r="AM8" s="72"/>
      <c r="AN8" s="72"/>
      <c r="AO8" s="72"/>
      <c r="AP8" s="72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Z8" s="92"/>
      <c r="DA8" s="92"/>
    </row>
    <row r="9" spans="1:107" ht="16" thickBot="1" x14ac:dyDescent="0.4">
      <c r="C9" s="4"/>
      <c r="D9" s="5"/>
      <c r="E9" s="5"/>
      <c r="F9" s="5"/>
      <c r="G9" s="5"/>
      <c r="H9" s="5"/>
      <c r="I9" s="5"/>
      <c r="J9" s="5"/>
      <c r="K9" s="83" t="s">
        <v>76</v>
      </c>
      <c r="M9" s="82" t="s">
        <v>77</v>
      </c>
      <c r="N9" s="356" t="s">
        <v>78</v>
      </c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162"/>
      <c r="AC9" s="240" t="s">
        <v>20</v>
      </c>
      <c r="AD9" s="240"/>
      <c r="AE9" s="240"/>
      <c r="AF9" s="240"/>
      <c r="AG9" s="240"/>
      <c r="AH9" s="240"/>
      <c r="AI9" s="240"/>
      <c r="AJ9" s="240"/>
      <c r="AK9" s="240"/>
      <c r="AL9" s="240"/>
      <c r="AM9" s="240"/>
      <c r="AN9" s="240"/>
      <c r="AO9" s="240"/>
      <c r="AP9" s="240"/>
      <c r="AQ9" s="162"/>
      <c r="AR9" s="157" t="s">
        <v>79</v>
      </c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63"/>
      <c r="BG9" s="157" t="s">
        <v>80</v>
      </c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V9" s="360" t="s">
        <v>81</v>
      </c>
      <c r="BW9" s="358"/>
      <c r="BX9" s="358"/>
      <c r="BY9" s="358"/>
      <c r="BZ9" s="358"/>
      <c r="CA9" s="358"/>
      <c r="CB9" s="358"/>
      <c r="CC9" s="358"/>
      <c r="CD9" s="358"/>
      <c r="CE9" s="358"/>
      <c r="CF9" s="202"/>
      <c r="CG9" s="202"/>
      <c r="CH9" s="202"/>
      <c r="CI9" s="204"/>
      <c r="CJ9" s="357" t="s">
        <v>82</v>
      </c>
      <c r="CK9" s="358"/>
      <c r="CL9" s="358"/>
      <c r="CM9" s="358"/>
      <c r="CN9" s="358"/>
      <c r="CO9" s="358"/>
      <c r="CP9" s="358"/>
      <c r="CQ9" s="358"/>
      <c r="CR9" s="358"/>
      <c r="CS9" s="358"/>
      <c r="CT9" s="358"/>
      <c r="CU9" s="358"/>
      <c r="CV9" s="358"/>
      <c r="CW9" s="358"/>
      <c r="CX9" s="358"/>
      <c r="CY9" s="359"/>
      <c r="CZ9" s="82" t="s">
        <v>83</v>
      </c>
      <c r="DA9" s="348" t="s">
        <v>84</v>
      </c>
      <c r="DB9" s="348" t="s">
        <v>85</v>
      </c>
      <c r="DC9" s="97" t="s">
        <v>86</v>
      </c>
    </row>
    <row r="10" spans="1:107" ht="16" thickBot="1" x14ac:dyDescent="0.35">
      <c r="A10" s="46" t="s">
        <v>87</v>
      </c>
      <c r="B10" s="46" t="s">
        <v>88</v>
      </c>
      <c r="C10" s="229" t="s">
        <v>1</v>
      </c>
      <c r="D10" s="230" t="s">
        <v>2</v>
      </c>
      <c r="E10" s="231" t="s">
        <v>3</v>
      </c>
      <c r="F10" s="6" t="s">
        <v>89</v>
      </c>
      <c r="G10" s="59" t="s">
        <v>90</v>
      </c>
      <c r="H10" s="59" t="s">
        <v>91</v>
      </c>
      <c r="I10" s="59" t="s">
        <v>92</v>
      </c>
      <c r="J10" s="59" t="s">
        <v>93</v>
      </c>
      <c r="K10" s="30" t="s">
        <v>94</v>
      </c>
      <c r="M10" s="82" t="s">
        <v>95</v>
      </c>
      <c r="N10" s="9" t="s">
        <v>8</v>
      </c>
      <c r="O10" s="9" t="s">
        <v>9</v>
      </c>
      <c r="P10" s="9" t="s">
        <v>10</v>
      </c>
      <c r="Q10" s="9" t="s">
        <v>11</v>
      </c>
      <c r="R10" s="9" t="s">
        <v>12</v>
      </c>
      <c r="S10" s="9" t="s">
        <v>13</v>
      </c>
      <c r="T10" s="9" t="s">
        <v>96</v>
      </c>
      <c r="U10" s="9" t="s">
        <v>97</v>
      </c>
      <c r="V10" s="9" t="s">
        <v>98</v>
      </c>
      <c r="W10" s="9" t="s">
        <v>99</v>
      </c>
      <c r="X10" s="9" t="s">
        <v>100</v>
      </c>
      <c r="Y10" s="9" t="s">
        <v>101</v>
      </c>
      <c r="Z10" s="9" t="s">
        <v>102</v>
      </c>
      <c r="AA10" s="9" t="s">
        <v>9</v>
      </c>
      <c r="AB10" s="163"/>
      <c r="AC10" s="234" t="s">
        <v>8</v>
      </c>
      <c r="AD10" s="234" t="s">
        <v>358</v>
      </c>
      <c r="AE10" s="234" t="s">
        <v>10</v>
      </c>
      <c r="AF10" s="234" t="s">
        <v>11</v>
      </c>
      <c r="AG10" s="234" t="s">
        <v>12</v>
      </c>
      <c r="AH10" s="234" t="s">
        <v>13</v>
      </c>
      <c r="AI10" s="9" t="s">
        <v>96</v>
      </c>
      <c r="AJ10" s="9" t="s">
        <v>97</v>
      </c>
      <c r="AK10" s="9" t="s">
        <v>98</v>
      </c>
      <c r="AL10" s="9" t="s">
        <v>99</v>
      </c>
      <c r="AM10" s="9" t="s">
        <v>100</v>
      </c>
      <c r="AN10" s="9" t="s">
        <v>101</v>
      </c>
      <c r="AO10" s="9" t="s">
        <v>102</v>
      </c>
      <c r="AP10" s="9" t="s">
        <v>9</v>
      </c>
      <c r="AQ10" s="163"/>
      <c r="AR10" s="9" t="s">
        <v>8</v>
      </c>
      <c r="AS10" s="9" t="s">
        <v>9</v>
      </c>
      <c r="AT10" s="9" t="s">
        <v>10</v>
      </c>
      <c r="AU10" s="9" t="s">
        <v>11</v>
      </c>
      <c r="AV10" s="9" t="s">
        <v>12</v>
      </c>
      <c r="AW10" s="9" t="s">
        <v>13</v>
      </c>
      <c r="AX10" s="9" t="s">
        <v>96</v>
      </c>
      <c r="AY10" s="9" t="s">
        <v>97</v>
      </c>
      <c r="AZ10" s="9" t="s">
        <v>98</v>
      </c>
      <c r="BA10" s="9" t="s">
        <v>99</v>
      </c>
      <c r="BB10" s="9" t="s">
        <v>100</v>
      </c>
      <c r="BC10" s="9" t="s">
        <v>101</v>
      </c>
      <c r="BD10" s="9" t="s">
        <v>102</v>
      </c>
      <c r="BE10" s="9" t="s">
        <v>9</v>
      </c>
      <c r="BF10" s="163"/>
      <c r="BG10" s="160" t="s">
        <v>8</v>
      </c>
      <c r="BH10" s="9" t="s">
        <v>9</v>
      </c>
      <c r="BI10" s="9" t="s">
        <v>10</v>
      </c>
      <c r="BJ10" s="9" t="s">
        <v>11</v>
      </c>
      <c r="BK10" s="9" t="s">
        <v>12</v>
      </c>
      <c r="BL10" s="9" t="s">
        <v>13</v>
      </c>
      <c r="BM10" s="9" t="s">
        <v>96</v>
      </c>
      <c r="BN10" s="9" t="s">
        <v>97</v>
      </c>
      <c r="BO10" s="9" t="s">
        <v>98</v>
      </c>
      <c r="BP10" s="9" t="s">
        <v>99</v>
      </c>
      <c r="BQ10" s="9" t="s">
        <v>100</v>
      </c>
      <c r="BR10" s="9" t="s">
        <v>101</v>
      </c>
      <c r="BS10" s="9" t="s">
        <v>102</v>
      </c>
      <c r="BT10" s="9" t="s">
        <v>9</v>
      </c>
      <c r="BU10" s="163"/>
      <c r="BV10" s="132" t="s">
        <v>8</v>
      </c>
      <c r="BW10" s="234" t="s">
        <v>9</v>
      </c>
      <c r="BX10" s="234" t="s">
        <v>10</v>
      </c>
      <c r="BY10" s="234" t="s">
        <v>11</v>
      </c>
      <c r="BZ10" s="234" t="s">
        <v>12</v>
      </c>
      <c r="CA10" s="234" t="s">
        <v>13</v>
      </c>
      <c r="CB10" s="9" t="s">
        <v>96</v>
      </c>
      <c r="CC10" s="9" t="s">
        <v>97</v>
      </c>
      <c r="CD10" s="9" t="s">
        <v>98</v>
      </c>
      <c r="CE10" s="9" t="s">
        <v>99</v>
      </c>
      <c r="CF10" s="9" t="s">
        <v>100</v>
      </c>
      <c r="CG10" s="9" t="s">
        <v>101</v>
      </c>
      <c r="CH10" s="9" t="s">
        <v>102</v>
      </c>
      <c r="CI10" s="205" t="s">
        <v>9</v>
      </c>
      <c r="CJ10" s="132" t="s">
        <v>8</v>
      </c>
      <c r="CK10" s="234" t="s">
        <v>9</v>
      </c>
      <c r="CL10" s="234" t="s">
        <v>10</v>
      </c>
      <c r="CM10" s="234" t="s">
        <v>11</v>
      </c>
      <c r="CN10" s="234" t="s">
        <v>12</v>
      </c>
      <c r="CO10" s="234" t="s">
        <v>13</v>
      </c>
      <c r="CP10" s="9" t="s">
        <v>96</v>
      </c>
      <c r="CQ10" s="9" t="s">
        <v>97</v>
      </c>
      <c r="CR10" s="9" t="s">
        <v>98</v>
      </c>
      <c r="CS10" s="9" t="s">
        <v>99</v>
      </c>
      <c r="CT10" s="9" t="s">
        <v>100</v>
      </c>
      <c r="CU10" s="9" t="s">
        <v>101</v>
      </c>
      <c r="CV10" s="9" t="s">
        <v>102</v>
      </c>
      <c r="CW10" s="9" t="s">
        <v>9</v>
      </c>
      <c r="CX10" s="56" t="s">
        <v>103</v>
      </c>
      <c r="CY10" s="10" t="s">
        <v>104</v>
      </c>
      <c r="CZ10" s="90"/>
      <c r="DA10" s="347"/>
      <c r="DB10" s="347"/>
    </row>
    <row r="11" spans="1:107" ht="16" thickBot="1" x14ac:dyDescent="0.4">
      <c r="A11" s="62" t="s">
        <v>105</v>
      </c>
      <c r="B11" s="46" t="s">
        <v>106</v>
      </c>
      <c r="C11" s="346" t="s">
        <v>15</v>
      </c>
      <c r="D11" s="111" t="s">
        <v>107</v>
      </c>
      <c r="E11" s="174" t="s">
        <v>50</v>
      </c>
      <c r="F11" s="173"/>
      <c r="G11" s="241">
        <v>0.85</v>
      </c>
      <c r="H11" s="242" t="s">
        <v>108</v>
      </c>
      <c r="I11" s="242" t="s">
        <v>109</v>
      </c>
      <c r="J11" s="242" t="s">
        <v>110</v>
      </c>
      <c r="K11" s="243">
        <v>3</v>
      </c>
      <c r="M11" s="244">
        <v>1</v>
      </c>
      <c r="N11" s="214">
        <v>0</v>
      </c>
      <c r="O11" s="215">
        <v>0</v>
      </c>
      <c r="P11" s="215">
        <v>6.25</v>
      </c>
      <c r="Q11" s="215">
        <v>15</v>
      </c>
      <c r="R11" s="215">
        <v>0</v>
      </c>
      <c r="S11" s="215">
        <v>0</v>
      </c>
      <c r="T11" s="215">
        <v>0</v>
      </c>
      <c r="U11" s="215">
        <v>0</v>
      </c>
      <c r="V11" s="215">
        <v>0</v>
      </c>
      <c r="W11" s="215">
        <v>0</v>
      </c>
      <c r="X11" s="215">
        <v>0</v>
      </c>
      <c r="Y11" s="215">
        <v>0</v>
      </c>
      <c r="Z11" s="215">
        <v>0</v>
      </c>
      <c r="AA11" s="215">
        <v>0</v>
      </c>
      <c r="AB11" s="159"/>
      <c r="AC11" s="245">
        <v>0</v>
      </c>
      <c r="AD11" s="245">
        <v>0</v>
      </c>
      <c r="AE11" s="245">
        <v>0.18525351112667299</v>
      </c>
      <c r="AF11" s="245">
        <v>0.44460842670401401</v>
      </c>
      <c r="AG11" s="245">
        <v>0</v>
      </c>
      <c r="AH11" s="245">
        <v>0</v>
      </c>
      <c r="AI11" s="245">
        <v>0</v>
      </c>
      <c r="AJ11" s="245">
        <v>0</v>
      </c>
      <c r="AK11" s="245">
        <v>0</v>
      </c>
      <c r="AL11" s="245">
        <v>0</v>
      </c>
      <c r="AM11" s="245">
        <v>0</v>
      </c>
      <c r="AN11" s="245">
        <v>0</v>
      </c>
      <c r="AO11" s="245">
        <v>0</v>
      </c>
      <c r="AP11" s="245">
        <v>0</v>
      </c>
      <c r="AQ11" s="159"/>
      <c r="AR11" s="245">
        <v>0</v>
      </c>
      <c r="AS11" s="245">
        <v>0</v>
      </c>
      <c r="AT11" s="245">
        <v>0.18525351112667299</v>
      </c>
      <c r="AU11" s="245">
        <v>0.44460842670401401</v>
      </c>
      <c r="AV11" s="245">
        <v>0</v>
      </c>
      <c r="AW11" s="245">
        <v>0</v>
      </c>
      <c r="AX11" s="245">
        <v>0</v>
      </c>
      <c r="AY11" s="245">
        <v>0</v>
      </c>
      <c r="AZ11" s="245">
        <v>0</v>
      </c>
      <c r="BA11" s="245">
        <v>0</v>
      </c>
      <c r="BB11" s="245">
        <v>0</v>
      </c>
      <c r="BC11" s="245">
        <v>0</v>
      </c>
      <c r="BD11" s="245">
        <v>0</v>
      </c>
      <c r="BE11" s="245">
        <v>0</v>
      </c>
      <c r="BF11" s="153"/>
      <c r="BG11" s="246">
        <v>0</v>
      </c>
      <c r="BH11" s="247">
        <v>0</v>
      </c>
      <c r="BI11" s="247">
        <v>0.18525351112667299</v>
      </c>
      <c r="BJ11" s="247">
        <v>0.44460842670401401</v>
      </c>
      <c r="BK11" s="247">
        <v>0</v>
      </c>
      <c r="BL11" s="247">
        <v>0</v>
      </c>
      <c r="BM11" s="247">
        <v>0</v>
      </c>
      <c r="BN11" s="247">
        <v>0</v>
      </c>
      <c r="BO11" s="247">
        <v>0</v>
      </c>
      <c r="BP11" s="247">
        <v>0</v>
      </c>
      <c r="BQ11" s="247">
        <v>0</v>
      </c>
      <c r="BR11" s="247">
        <v>0</v>
      </c>
      <c r="BS11" s="247">
        <v>0</v>
      </c>
      <c r="BT11" s="247">
        <v>0</v>
      </c>
      <c r="BU11" s="169"/>
      <c r="BV11" s="182">
        <v>1</v>
      </c>
      <c r="BW11" s="183">
        <v>1</v>
      </c>
      <c r="BX11" s="170">
        <v>1</v>
      </c>
      <c r="BY11" s="170">
        <v>1</v>
      </c>
      <c r="BZ11" s="171">
        <v>1</v>
      </c>
      <c r="CA11" s="171">
        <v>1</v>
      </c>
      <c r="CB11" s="171">
        <v>1</v>
      </c>
      <c r="CC11" s="171">
        <v>1</v>
      </c>
      <c r="CD11" s="171">
        <v>1</v>
      </c>
      <c r="CE11" s="171">
        <v>1</v>
      </c>
      <c r="CF11" s="171">
        <v>1</v>
      </c>
      <c r="CG11" s="171">
        <v>1</v>
      </c>
      <c r="CH11" s="171">
        <v>1</v>
      </c>
      <c r="CI11" s="248">
        <v>1</v>
      </c>
      <c r="CJ11" s="249">
        <v>1</v>
      </c>
      <c r="CK11" s="250">
        <v>1</v>
      </c>
      <c r="CL11" s="250">
        <v>0.81474648887332701</v>
      </c>
      <c r="CM11" s="250">
        <v>0.55539157329598599</v>
      </c>
      <c r="CN11" s="250">
        <v>1</v>
      </c>
      <c r="CO11" s="250">
        <v>1</v>
      </c>
      <c r="CP11" s="250">
        <v>1</v>
      </c>
      <c r="CQ11" s="250">
        <v>1</v>
      </c>
      <c r="CR11" s="250">
        <v>1</v>
      </c>
      <c r="CS11" s="250">
        <v>1</v>
      </c>
      <c r="CT11" s="250">
        <v>1</v>
      </c>
      <c r="CU11" s="250">
        <v>1</v>
      </c>
      <c r="CV11" s="250">
        <v>1</v>
      </c>
      <c r="CW11" s="250">
        <v>1</v>
      </c>
      <c r="CX11" s="249">
        <v>0.91001972316704471</v>
      </c>
      <c r="CY11" s="251">
        <v>1</v>
      </c>
      <c r="CZ11" s="149"/>
      <c r="DA11" s="252">
        <v>8.9980276832955286E-2</v>
      </c>
      <c r="DB11" s="149" t="s">
        <v>111</v>
      </c>
    </row>
    <row r="12" spans="1:107" x14ac:dyDescent="0.35">
      <c r="A12" s="62" t="s">
        <v>64</v>
      </c>
      <c r="B12" s="46" t="s">
        <v>106</v>
      </c>
      <c r="C12" s="345"/>
      <c r="D12" s="253" t="s">
        <v>64</v>
      </c>
      <c r="E12" s="180" t="s">
        <v>112</v>
      </c>
      <c r="F12" s="254" t="s">
        <v>113</v>
      </c>
      <c r="G12" s="241">
        <v>0.85</v>
      </c>
      <c r="H12" s="242" t="s">
        <v>114</v>
      </c>
      <c r="I12" s="242" t="s">
        <v>115</v>
      </c>
      <c r="J12" s="242" t="s">
        <v>116</v>
      </c>
      <c r="K12" s="255">
        <v>32</v>
      </c>
      <c r="M12" s="244">
        <v>3</v>
      </c>
      <c r="N12" s="216">
        <v>0</v>
      </c>
      <c r="O12" s="217">
        <v>95.5</v>
      </c>
      <c r="P12" s="217">
        <v>277</v>
      </c>
      <c r="Q12" s="217">
        <v>248.8</v>
      </c>
      <c r="R12" s="217">
        <v>166</v>
      </c>
      <c r="S12" s="217">
        <v>174</v>
      </c>
      <c r="T12" s="217">
        <v>190</v>
      </c>
      <c r="U12" s="217">
        <v>160</v>
      </c>
      <c r="V12" s="217">
        <v>130</v>
      </c>
      <c r="W12" s="217">
        <v>132</v>
      </c>
      <c r="X12" s="217">
        <v>141</v>
      </c>
      <c r="Y12" s="217">
        <v>123</v>
      </c>
      <c r="Z12" s="217">
        <v>125.6</v>
      </c>
      <c r="AA12" s="217">
        <v>127</v>
      </c>
      <c r="AB12" s="159"/>
      <c r="AC12" s="245">
        <v>0</v>
      </c>
      <c r="AD12" s="245">
        <v>0.82965394491129774</v>
      </c>
      <c r="AE12" s="245">
        <v>2.6471055088702151</v>
      </c>
      <c r="AF12" s="245">
        <v>2.777009803921568</v>
      </c>
      <c r="AG12" s="245">
        <v>1.480905695611578</v>
      </c>
      <c r="AH12" s="245">
        <v>1.5237978524743221</v>
      </c>
      <c r="AI12" s="245">
        <v>1.7379551820728301</v>
      </c>
      <c r="AJ12" s="245">
        <v>1.446848739495797</v>
      </c>
      <c r="AK12" s="245">
        <v>1.193499066293185</v>
      </c>
      <c r="AL12" s="245">
        <v>1.2174369747899161</v>
      </c>
      <c r="AM12" s="245">
        <v>1.3364845938375349</v>
      </c>
      <c r="AN12" s="245">
        <v>1.1965569561157801</v>
      </c>
      <c r="AO12" s="245">
        <v>1.18765406162465</v>
      </c>
      <c r="AP12" s="245">
        <v>1.21422735760971</v>
      </c>
      <c r="AQ12" s="159"/>
      <c r="AR12" s="245">
        <v>0</v>
      </c>
      <c r="AS12" s="245">
        <v>0.82965394491129774</v>
      </c>
      <c r="AT12" s="245">
        <v>2.6471055088702151</v>
      </c>
      <c r="AU12" s="245">
        <v>2.777009803921568</v>
      </c>
      <c r="AV12" s="245">
        <v>1.480905695611578</v>
      </c>
      <c r="AW12" s="245">
        <v>1.5237978524743221</v>
      </c>
      <c r="AX12" s="245">
        <v>1.7379551820728301</v>
      </c>
      <c r="AY12" s="245">
        <v>1.446848739495797</v>
      </c>
      <c r="AZ12" s="245">
        <v>1.193499066293185</v>
      </c>
      <c r="BA12" s="245">
        <v>1.2174369747899161</v>
      </c>
      <c r="BB12" s="245">
        <v>1.3364845938375349</v>
      </c>
      <c r="BC12" s="245">
        <v>1.1965569561157801</v>
      </c>
      <c r="BD12" s="245">
        <v>1.18765406162465</v>
      </c>
      <c r="BE12" s="245">
        <v>1.21422735760971</v>
      </c>
      <c r="BF12" s="153"/>
      <c r="BG12" s="246">
        <v>0</v>
      </c>
      <c r="BH12" s="247">
        <v>0.27655131497043262</v>
      </c>
      <c r="BI12" s="247">
        <v>0.88236850295673841</v>
      </c>
      <c r="BJ12" s="247">
        <v>0.92566993464052272</v>
      </c>
      <c r="BK12" s="247">
        <v>0.74045284780578879</v>
      </c>
      <c r="BL12" s="247">
        <v>0.76189892623716093</v>
      </c>
      <c r="BM12" s="247">
        <v>0.86897759103641503</v>
      </c>
      <c r="BN12" s="247">
        <v>0.48228291316526578</v>
      </c>
      <c r="BO12" s="247">
        <v>0.76189892623716093</v>
      </c>
      <c r="BP12" s="247">
        <v>0.86897759103641503</v>
      </c>
      <c r="BQ12" s="247">
        <v>0.48228291316526578</v>
      </c>
      <c r="BR12" s="247">
        <v>0.54991187395892327</v>
      </c>
      <c r="BS12" s="247">
        <v>3.4498610927371378</v>
      </c>
      <c r="BT12" s="247">
        <v>5.9934679521401728</v>
      </c>
      <c r="BU12" s="169"/>
      <c r="BV12" s="256">
        <v>3</v>
      </c>
      <c r="BW12" s="184">
        <v>3</v>
      </c>
      <c r="BX12" s="34">
        <v>3</v>
      </c>
      <c r="BY12" s="34">
        <v>3</v>
      </c>
      <c r="BZ12" s="51">
        <v>2</v>
      </c>
      <c r="CA12" s="51">
        <v>2</v>
      </c>
      <c r="CB12" s="51">
        <v>2</v>
      </c>
      <c r="CC12" s="51">
        <v>2</v>
      </c>
      <c r="CD12" s="51">
        <v>2</v>
      </c>
      <c r="CE12" s="51">
        <v>2</v>
      </c>
      <c r="CF12" s="51">
        <v>2</v>
      </c>
      <c r="CG12" s="51">
        <v>2</v>
      </c>
      <c r="CH12" s="51">
        <v>2</v>
      </c>
      <c r="CI12" s="248">
        <v>2</v>
      </c>
      <c r="CJ12" s="249">
        <v>3</v>
      </c>
      <c r="CK12" s="250">
        <v>2.1703460550887019</v>
      </c>
      <c r="CL12" s="250">
        <v>0.35289449112978488</v>
      </c>
      <c r="CM12" s="250">
        <v>0.22299019607843201</v>
      </c>
      <c r="CN12" s="257">
        <v>0.51909430438842241</v>
      </c>
      <c r="CO12" s="250">
        <v>0.47620214752567808</v>
      </c>
      <c r="CP12" s="250">
        <v>0.26204481792716988</v>
      </c>
      <c r="CQ12" s="250">
        <v>0.5531512605042026</v>
      </c>
      <c r="CR12" s="250">
        <v>0.80650093370681519</v>
      </c>
      <c r="CS12" s="250">
        <v>0.78256302521008392</v>
      </c>
      <c r="CT12" s="250">
        <v>0.66351540616246485</v>
      </c>
      <c r="CU12" s="250">
        <v>0.80344304388421994</v>
      </c>
      <c r="CV12" s="250">
        <v>0.81234593837534996</v>
      </c>
      <c r="CW12" s="250">
        <v>0.78577264239028999</v>
      </c>
      <c r="CX12" s="258">
        <v>1.0005102874483129</v>
      </c>
      <c r="CY12" s="259">
        <v>3</v>
      </c>
      <c r="CZ12" s="127"/>
      <c r="DA12" s="187">
        <v>0.61091266599232286</v>
      </c>
      <c r="DB12" s="127" t="s">
        <v>117</v>
      </c>
    </row>
    <row r="13" spans="1:107" x14ac:dyDescent="0.35">
      <c r="A13" s="62" t="s">
        <v>64</v>
      </c>
      <c r="B13" s="46" t="s">
        <v>106</v>
      </c>
      <c r="C13" s="345"/>
      <c r="D13" s="253" t="s">
        <v>16</v>
      </c>
      <c r="E13" s="180" t="s">
        <v>17</v>
      </c>
      <c r="F13" s="260"/>
      <c r="G13" s="241">
        <v>0.85</v>
      </c>
      <c r="H13" s="242" t="s">
        <v>114</v>
      </c>
      <c r="I13" s="242" t="s">
        <v>115</v>
      </c>
      <c r="J13" s="242" t="s">
        <v>116</v>
      </c>
      <c r="K13" s="255">
        <v>1</v>
      </c>
      <c r="M13" s="244">
        <v>3</v>
      </c>
      <c r="N13" s="216">
        <v>35</v>
      </c>
      <c r="O13" s="217">
        <v>68.75</v>
      </c>
      <c r="P13" s="217">
        <v>50</v>
      </c>
      <c r="Q13" s="217">
        <v>15</v>
      </c>
      <c r="R13" s="217">
        <v>12.5</v>
      </c>
      <c r="S13" s="217">
        <v>12.5</v>
      </c>
      <c r="T13" s="217">
        <v>10</v>
      </c>
      <c r="U13" s="217">
        <v>0</v>
      </c>
      <c r="V13" s="217">
        <v>0</v>
      </c>
      <c r="W13" s="217">
        <v>0</v>
      </c>
      <c r="X13" s="217">
        <v>0</v>
      </c>
      <c r="Y13" s="217">
        <v>0</v>
      </c>
      <c r="Z13" s="217">
        <v>0</v>
      </c>
      <c r="AA13" s="217">
        <v>0</v>
      </c>
      <c r="AB13" s="159"/>
      <c r="AC13" s="245">
        <v>2.66436103762492</v>
      </c>
      <c r="AD13" s="245">
        <v>5.2231339101998753</v>
      </c>
      <c r="AE13" s="245">
        <v>3.8218786743092248</v>
      </c>
      <c r="AF13" s="245">
        <v>1.1502149470899481</v>
      </c>
      <c r="AG13" s="245">
        <v>0.95851245590829004</v>
      </c>
      <c r="AH13" s="245">
        <v>0.95851245590829004</v>
      </c>
      <c r="AI13" s="245">
        <v>0.76680996472663199</v>
      </c>
      <c r="AJ13" s="245">
        <v>0</v>
      </c>
      <c r="AK13" s="245">
        <v>0</v>
      </c>
      <c r="AL13" s="245">
        <v>0</v>
      </c>
      <c r="AM13" s="245">
        <v>0</v>
      </c>
      <c r="AN13" s="245">
        <v>0</v>
      </c>
      <c r="AO13" s="245">
        <v>0</v>
      </c>
      <c r="AP13" s="245">
        <v>0</v>
      </c>
      <c r="AQ13" s="159"/>
      <c r="AR13" s="245">
        <v>3.0571134626690202</v>
      </c>
      <c r="AS13" s="245">
        <v>3.0419238683127499</v>
      </c>
      <c r="AT13" s="245">
        <v>3.0419238683127499</v>
      </c>
      <c r="AU13" s="245">
        <v>3.0520502645502599</v>
      </c>
      <c r="AV13" s="245">
        <v>3.0672398589065248</v>
      </c>
      <c r="AW13" s="245">
        <v>3.0672398589065248</v>
      </c>
      <c r="AX13" s="245">
        <v>3.06723985890652</v>
      </c>
      <c r="AY13" s="245">
        <v>0</v>
      </c>
      <c r="AZ13" s="245">
        <v>0</v>
      </c>
      <c r="BA13" s="245">
        <v>0</v>
      </c>
      <c r="BB13" s="245">
        <v>0</v>
      </c>
      <c r="BC13" s="245">
        <v>0</v>
      </c>
      <c r="BD13" s="245">
        <v>0</v>
      </c>
      <c r="BE13" s="245">
        <v>0</v>
      </c>
      <c r="BF13" s="153"/>
      <c r="BG13" s="246">
        <v>0.88812034587497335</v>
      </c>
      <c r="BH13" s="247">
        <v>1.7410446367332919</v>
      </c>
      <c r="BI13" s="247">
        <v>1.2739595581030749</v>
      </c>
      <c r="BJ13" s="247">
        <v>0.38340498236331599</v>
      </c>
      <c r="BK13" s="247">
        <v>0.31950415196942999</v>
      </c>
      <c r="BL13" s="247">
        <v>0.31950415196942999</v>
      </c>
      <c r="BM13" s="247">
        <v>0.255603321575544</v>
      </c>
      <c r="BN13" s="247">
        <v>0</v>
      </c>
      <c r="BO13" s="247">
        <v>0.31950415196942999</v>
      </c>
      <c r="BP13" s="247">
        <v>0.255603321575544</v>
      </c>
      <c r="BQ13" s="247">
        <v>0</v>
      </c>
      <c r="BR13" s="247">
        <v>0</v>
      </c>
      <c r="BS13" s="247">
        <v>0</v>
      </c>
      <c r="BT13" s="247">
        <v>0</v>
      </c>
      <c r="BU13" s="169"/>
      <c r="BV13" s="256">
        <v>3</v>
      </c>
      <c r="BW13" s="184">
        <v>3</v>
      </c>
      <c r="BX13" s="34">
        <v>3</v>
      </c>
      <c r="BY13" s="34">
        <v>3</v>
      </c>
      <c r="BZ13" s="51">
        <v>3</v>
      </c>
      <c r="CA13" s="51">
        <v>3</v>
      </c>
      <c r="CB13" s="51">
        <v>3</v>
      </c>
      <c r="CC13" s="51">
        <v>3</v>
      </c>
      <c r="CD13" s="51">
        <v>3</v>
      </c>
      <c r="CE13" s="51">
        <v>3</v>
      </c>
      <c r="CF13" s="51">
        <v>3</v>
      </c>
      <c r="CG13" s="51">
        <v>3</v>
      </c>
      <c r="CH13" s="51">
        <v>3</v>
      </c>
      <c r="CI13" s="248">
        <v>3</v>
      </c>
      <c r="CJ13" s="249">
        <v>0.33563896237508001</v>
      </c>
      <c r="CK13" s="250">
        <v>-2.2231339101998748</v>
      </c>
      <c r="CL13" s="250">
        <v>-0.82187867430922479</v>
      </c>
      <c r="CM13" s="250">
        <v>1.8497850529100519</v>
      </c>
      <c r="CN13" s="250">
        <v>2.04148754409171</v>
      </c>
      <c r="CO13" s="250">
        <v>2.04148754409171</v>
      </c>
      <c r="CP13" s="250">
        <v>2.2331900352733678</v>
      </c>
      <c r="CQ13" s="250">
        <v>3</v>
      </c>
      <c r="CR13" s="250">
        <v>3</v>
      </c>
      <c r="CS13" s="250">
        <v>3</v>
      </c>
      <c r="CT13" s="250">
        <v>3</v>
      </c>
      <c r="CU13" s="250">
        <v>3</v>
      </c>
      <c r="CV13" s="250">
        <v>3</v>
      </c>
      <c r="CW13" s="250">
        <v>3</v>
      </c>
      <c r="CX13" s="249">
        <v>0.77951093631897428</v>
      </c>
      <c r="CY13" s="251">
        <v>2.2331900352733678</v>
      </c>
      <c r="CZ13" s="127"/>
      <c r="DA13" s="187">
        <v>0.74016302122700861</v>
      </c>
      <c r="DB13" s="127" t="s">
        <v>118</v>
      </c>
    </row>
    <row r="14" spans="1:107" x14ac:dyDescent="0.35">
      <c r="A14" s="62" t="s">
        <v>64</v>
      </c>
      <c r="B14" s="46" t="s">
        <v>106</v>
      </c>
      <c r="C14" s="345"/>
      <c r="D14" s="253" t="s">
        <v>119</v>
      </c>
      <c r="E14" s="180" t="s">
        <v>120</v>
      </c>
      <c r="F14" s="260"/>
      <c r="G14" s="241">
        <v>0.85</v>
      </c>
      <c r="H14" s="261" t="s">
        <v>114</v>
      </c>
      <c r="I14" s="261" t="s">
        <v>115</v>
      </c>
      <c r="J14" s="261" t="s">
        <v>116</v>
      </c>
      <c r="K14" s="262">
        <v>3</v>
      </c>
      <c r="M14" s="244">
        <v>1</v>
      </c>
      <c r="N14" s="216">
        <v>0</v>
      </c>
      <c r="O14" s="217">
        <v>0</v>
      </c>
      <c r="P14" s="217">
        <v>0</v>
      </c>
      <c r="Q14" s="217">
        <v>0</v>
      </c>
      <c r="R14" s="217">
        <v>0</v>
      </c>
      <c r="S14" s="217">
        <v>0</v>
      </c>
      <c r="T14" s="217">
        <v>0</v>
      </c>
      <c r="U14" s="217">
        <v>0</v>
      </c>
      <c r="V14" s="217">
        <v>0</v>
      </c>
      <c r="W14" s="217">
        <v>0</v>
      </c>
      <c r="X14" s="217">
        <v>0</v>
      </c>
      <c r="Y14" s="217">
        <v>0</v>
      </c>
      <c r="Z14" s="217">
        <v>0</v>
      </c>
      <c r="AA14" s="217">
        <v>0</v>
      </c>
      <c r="AB14" s="159"/>
      <c r="AC14" s="245">
        <v>0</v>
      </c>
      <c r="AD14" s="245">
        <v>0</v>
      </c>
      <c r="AE14" s="245">
        <v>0</v>
      </c>
      <c r="AF14" s="245">
        <v>0</v>
      </c>
      <c r="AG14" s="245">
        <v>0</v>
      </c>
      <c r="AH14" s="245">
        <v>0</v>
      </c>
      <c r="AI14" s="245">
        <v>0</v>
      </c>
      <c r="AJ14" s="245">
        <v>0</v>
      </c>
      <c r="AK14" s="245">
        <v>0</v>
      </c>
      <c r="AL14" s="245">
        <v>0</v>
      </c>
      <c r="AM14" s="245">
        <v>0</v>
      </c>
      <c r="AN14" s="245">
        <v>0</v>
      </c>
      <c r="AO14" s="245">
        <v>0</v>
      </c>
      <c r="AP14" s="245">
        <v>0</v>
      </c>
      <c r="AQ14" s="159"/>
      <c r="AR14" s="245">
        <v>0</v>
      </c>
      <c r="AS14" s="245">
        <v>0</v>
      </c>
      <c r="AT14" s="245">
        <v>0</v>
      </c>
      <c r="AU14" s="245">
        <v>0</v>
      </c>
      <c r="AV14" s="245">
        <v>0</v>
      </c>
      <c r="AW14" s="245">
        <v>0</v>
      </c>
      <c r="AX14" s="245">
        <v>0</v>
      </c>
      <c r="AY14" s="245">
        <v>0</v>
      </c>
      <c r="AZ14" s="245">
        <v>0</v>
      </c>
      <c r="BA14" s="245">
        <v>0</v>
      </c>
      <c r="BB14" s="245">
        <v>0</v>
      </c>
      <c r="BC14" s="245">
        <v>0</v>
      </c>
      <c r="BD14" s="245">
        <v>0</v>
      </c>
      <c r="BE14" s="245">
        <v>0</v>
      </c>
      <c r="BF14" s="153"/>
      <c r="BG14" s="246">
        <v>0</v>
      </c>
      <c r="BH14" s="247">
        <v>0</v>
      </c>
      <c r="BI14" s="247">
        <v>0</v>
      </c>
      <c r="BJ14" s="247">
        <v>0</v>
      </c>
      <c r="BK14" s="247">
        <v>0</v>
      </c>
      <c r="BL14" s="247">
        <v>0</v>
      </c>
      <c r="BM14" s="247">
        <v>0</v>
      </c>
      <c r="BN14" s="247">
        <v>0</v>
      </c>
      <c r="BO14" s="247">
        <v>0</v>
      </c>
      <c r="BP14" s="247">
        <v>0</v>
      </c>
      <c r="BQ14" s="247">
        <v>0</v>
      </c>
      <c r="BR14" s="247">
        <v>0</v>
      </c>
      <c r="BS14" s="247">
        <v>0</v>
      </c>
      <c r="BT14" s="247">
        <v>0</v>
      </c>
      <c r="BU14" s="169"/>
      <c r="BV14" s="263">
        <v>1</v>
      </c>
      <c r="BW14" s="264">
        <v>1</v>
      </c>
      <c r="BX14" s="265">
        <v>1</v>
      </c>
      <c r="BY14" s="265">
        <v>1</v>
      </c>
      <c r="BZ14" s="266">
        <v>1</v>
      </c>
      <c r="CA14" s="266">
        <v>1</v>
      </c>
      <c r="CB14" s="266">
        <v>1</v>
      </c>
      <c r="CC14" s="266">
        <v>1</v>
      </c>
      <c r="CD14" s="266">
        <v>1</v>
      </c>
      <c r="CE14" s="266">
        <v>1</v>
      </c>
      <c r="CF14" s="266">
        <v>1</v>
      </c>
      <c r="CG14" s="266">
        <v>1</v>
      </c>
      <c r="CH14" s="266">
        <v>1</v>
      </c>
      <c r="CI14" s="248">
        <v>1</v>
      </c>
      <c r="CJ14" s="249">
        <v>1</v>
      </c>
      <c r="CK14" s="250">
        <v>1</v>
      </c>
      <c r="CL14" s="250">
        <v>1</v>
      </c>
      <c r="CM14" s="250">
        <v>1</v>
      </c>
      <c r="CN14" s="250">
        <v>1</v>
      </c>
      <c r="CO14" s="250">
        <v>1</v>
      </c>
      <c r="CP14" s="250">
        <v>1</v>
      </c>
      <c r="CQ14" s="250">
        <v>1</v>
      </c>
      <c r="CR14" s="250">
        <v>1</v>
      </c>
      <c r="CS14" s="250">
        <v>1</v>
      </c>
      <c r="CT14" s="250">
        <v>1</v>
      </c>
      <c r="CU14" s="250">
        <v>1</v>
      </c>
      <c r="CV14" s="250">
        <v>1</v>
      </c>
      <c r="CW14" s="250">
        <v>1</v>
      </c>
      <c r="CX14" s="249">
        <v>1</v>
      </c>
      <c r="CY14" s="251">
        <v>1</v>
      </c>
      <c r="CZ14" s="127"/>
      <c r="DA14" s="187">
        <v>0</v>
      </c>
      <c r="DB14" s="127" t="s">
        <v>121</v>
      </c>
    </row>
    <row r="15" spans="1:107" x14ac:dyDescent="0.35">
      <c r="A15" s="62" t="s">
        <v>64</v>
      </c>
      <c r="B15" s="46" t="s">
        <v>106</v>
      </c>
      <c r="C15" s="345"/>
      <c r="D15" s="253" t="s">
        <v>122</v>
      </c>
      <c r="E15" s="180" t="s">
        <v>31</v>
      </c>
      <c r="F15" s="260"/>
      <c r="G15" s="241">
        <v>0.85</v>
      </c>
      <c r="H15" s="261" t="s">
        <v>123</v>
      </c>
      <c r="I15" s="261"/>
      <c r="J15" s="261"/>
      <c r="K15" s="262">
        <v>1</v>
      </c>
      <c r="M15" s="244">
        <v>9</v>
      </c>
      <c r="N15" s="216">
        <v>1140</v>
      </c>
      <c r="O15" s="217">
        <v>1135</v>
      </c>
      <c r="P15" s="217">
        <v>1102.5</v>
      </c>
      <c r="Q15" s="217">
        <v>1100</v>
      </c>
      <c r="R15" s="217">
        <v>1112</v>
      </c>
      <c r="S15" s="217">
        <v>925</v>
      </c>
      <c r="T15" s="217">
        <v>683.6</v>
      </c>
      <c r="U15" s="217">
        <v>629</v>
      </c>
      <c r="V15" s="217">
        <v>632.75</v>
      </c>
      <c r="W15" s="217">
        <v>658.8</v>
      </c>
      <c r="X15" s="217">
        <v>645</v>
      </c>
      <c r="Y15" s="217">
        <v>550.25</v>
      </c>
      <c r="Z15" s="217">
        <v>418.8</v>
      </c>
      <c r="AA15" s="217">
        <v>385</v>
      </c>
      <c r="AB15" s="159"/>
      <c r="AC15" s="245">
        <v>6.3587379396202994</v>
      </c>
      <c r="AD15" s="245">
        <v>6.4087107065048254</v>
      </c>
      <c r="AE15" s="245">
        <v>6.1879668534080254</v>
      </c>
      <c r="AF15" s="245">
        <v>6.1806528166822199</v>
      </c>
      <c r="AG15" s="245">
        <v>6.2157601929660746</v>
      </c>
      <c r="AH15" s="245">
        <v>5.3328373015872996</v>
      </c>
      <c r="AI15" s="245">
        <v>3.7153773731715001</v>
      </c>
      <c r="AJ15" s="245">
        <v>3.4134706660442</v>
      </c>
      <c r="AK15" s="245">
        <v>3.4134706660442</v>
      </c>
      <c r="AL15" s="245">
        <v>3.6005061469032</v>
      </c>
      <c r="AM15" s="245">
        <v>3.5245681605975752</v>
      </c>
      <c r="AN15" s="245">
        <v>3.0959870059134751</v>
      </c>
      <c r="AO15" s="245">
        <v>2.2747113289760401</v>
      </c>
      <c r="AP15" s="245">
        <v>2.0906181917211319</v>
      </c>
      <c r="AQ15" s="159"/>
      <c r="AR15" s="245">
        <v>6.3587379396202994</v>
      </c>
      <c r="AS15" s="245">
        <v>6.4087107065048254</v>
      </c>
      <c r="AT15" s="245">
        <v>6.1879668534080254</v>
      </c>
      <c r="AU15" s="245">
        <v>6.1806528166822199</v>
      </c>
      <c r="AV15" s="245">
        <v>6.2157601929660746</v>
      </c>
      <c r="AW15" s="245">
        <v>5.3328373015872996</v>
      </c>
      <c r="AX15" s="245">
        <v>3.7153773731715001</v>
      </c>
      <c r="AY15" s="245">
        <v>3.4134706660442</v>
      </c>
      <c r="AZ15" s="245">
        <v>3.4134706660442</v>
      </c>
      <c r="BA15" s="245">
        <v>3.6005061469032</v>
      </c>
      <c r="BB15" s="245">
        <v>3.5245681605975752</v>
      </c>
      <c r="BC15" s="245">
        <v>3.0959870059134751</v>
      </c>
      <c r="BD15" s="245">
        <v>2.2747113289760401</v>
      </c>
      <c r="BE15" s="245">
        <v>2.0906181917211319</v>
      </c>
      <c r="BF15" s="153"/>
      <c r="BG15" s="246">
        <v>0.70652643773558887</v>
      </c>
      <c r="BH15" s="247">
        <v>0.712078967389425</v>
      </c>
      <c r="BI15" s="247">
        <v>0.77349585667600307</v>
      </c>
      <c r="BJ15" s="247">
        <v>0.77258160208527749</v>
      </c>
      <c r="BK15" s="247">
        <v>0.77697002412075933</v>
      </c>
      <c r="BL15" s="247">
        <v>0.66660466269841245</v>
      </c>
      <c r="BM15" s="247">
        <v>0.46442217164643751</v>
      </c>
      <c r="BN15" s="247">
        <v>1.2923634944248921</v>
      </c>
      <c r="BO15" s="247">
        <v>0.66660466269841245</v>
      </c>
      <c r="BP15" s="247">
        <v>0.46442217164643751</v>
      </c>
      <c r="BQ15" s="247">
        <v>1.2923634944248921</v>
      </c>
      <c r="BR15" s="247">
        <v>1.317286601157547</v>
      </c>
      <c r="BS15" s="247">
        <v>1.9869979496097729</v>
      </c>
      <c r="BT15" s="247">
        <v>1.937270793016062</v>
      </c>
      <c r="BU15" s="169"/>
      <c r="BV15" s="263">
        <v>9</v>
      </c>
      <c r="BW15" s="264">
        <v>9</v>
      </c>
      <c r="BX15" s="265">
        <v>8</v>
      </c>
      <c r="BY15" s="265">
        <v>8</v>
      </c>
      <c r="BZ15" s="266">
        <v>8</v>
      </c>
      <c r="CA15" s="266">
        <v>8</v>
      </c>
      <c r="CB15" s="266">
        <v>8</v>
      </c>
      <c r="CC15" s="266">
        <v>8</v>
      </c>
      <c r="CD15" s="266">
        <v>8</v>
      </c>
      <c r="CE15" s="266">
        <v>8</v>
      </c>
      <c r="CF15" s="266">
        <v>8</v>
      </c>
      <c r="CG15" s="266">
        <v>8</v>
      </c>
      <c r="CH15" s="266">
        <v>8</v>
      </c>
      <c r="CI15" s="248">
        <v>8</v>
      </c>
      <c r="CJ15" s="258">
        <v>2.641262060379701</v>
      </c>
      <c r="CK15" s="257">
        <v>2.591289293495175</v>
      </c>
      <c r="CL15" s="250">
        <v>1.812033146591975</v>
      </c>
      <c r="CM15" s="250">
        <v>1.8193471833177799</v>
      </c>
      <c r="CN15" s="250">
        <v>1.7842398070339249</v>
      </c>
      <c r="CO15" s="250">
        <v>2.6671626984126999</v>
      </c>
      <c r="CP15" s="250">
        <v>4.2846226268284999</v>
      </c>
      <c r="CQ15" s="250">
        <v>4.5865293339558004</v>
      </c>
      <c r="CR15" s="250">
        <v>4.5865293339558004</v>
      </c>
      <c r="CS15" s="250">
        <v>4.3994938530968</v>
      </c>
      <c r="CT15" s="250">
        <v>4.4754318394024253</v>
      </c>
      <c r="CU15" s="250">
        <v>4.9040129940865249</v>
      </c>
      <c r="CV15" s="250">
        <v>5.7252886710239599</v>
      </c>
      <c r="CW15" s="250">
        <v>5.9093818082788676</v>
      </c>
      <c r="CX15" s="249">
        <v>2.514279545151394</v>
      </c>
      <c r="CY15" s="251">
        <v>4.2846226268284999</v>
      </c>
      <c r="CZ15" s="127"/>
      <c r="DA15" s="187">
        <v>0.69655246868862486</v>
      </c>
      <c r="DB15" s="127" t="s">
        <v>124</v>
      </c>
    </row>
    <row r="16" spans="1:107" x14ac:dyDescent="0.35">
      <c r="A16" s="62" t="s">
        <v>64</v>
      </c>
      <c r="B16" s="46" t="s">
        <v>106</v>
      </c>
      <c r="C16" s="345"/>
      <c r="D16" s="253" t="s">
        <v>125</v>
      </c>
      <c r="E16" s="180" t="s">
        <v>31</v>
      </c>
      <c r="F16" s="260"/>
      <c r="G16" s="241">
        <v>0.85</v>
      </c>
      <c r="H16" s="261" t="s">
        <v>123</v>
      </c>
      <c r="I16" s="261"/>
      <c r="J16" s="261"/>
      <c r="K16" s="262">
        <v>1</v>
      </c>
      <c r="M16" s="244">
        <v>0</v>
      </c>
      <c r="N16" s="216">
        <v>0</v>
      </c>
      <c r="O16" s="217">
        <v>0</v>
      </c>
      <c r="P16" s="217">
        <v>0</v>
      </c>
      <c r="Q16" s="217">
        <v>0</v>
      </c>
      <c r="R16" s="217">
        <v>0</v>
      </c>
      <c r="S16" s="217">
        <v>0</v>
      </c>
      <c r="T16" s="217">
        <v>0</v>
      </c>
      <c r="U16" s="217">
        <v>0</v>
      </c>
      <c r="V16" s="217">
        <v>0</v>
      </c>
      <c r="W16" s="217">
        <v>0</v>
      </c>
      <c r="X16" s="217">
        <v>0</v>
      </c>
      <c r="Y16" s="217">
        <v>0</v>
      </c>
      <c r="Z16" s="217">
        <v>0</v>
      </c>
      <c r="AA16" s="217">
        <v>0</v>
      </c>
      <c r="AB16" s="159"/>
      <c r="AC16" s="245">
        <v>0</v>
      </c>
      <c r="AD16" s="245">
        <v>0</v>
      </c>
      <c r="AE16" s="245">
        <v>0</v>
      </c>
      <c r="AF16" s="245">
        <v>0</v>
      </c>
      <c r="AG16" s="245">
        <v>0</v>
      </c>
      <c r="AH16" s="245">
        <v>0</v>
      </c>
      <c r="AI16" s="245">
        <v>0</v>
      </c>
      <c r="AJ16" s="245">
        <v>0</v>
      </c>
      <c r="AK16" s="245">
        <v>0</v>
      </c>
      <c r="AL16" s="245">
        <v>0</v>
      </c>
      <c r="AM16" s="245">
        <v>0</v>
      </c>
      <c r="AN16" s="245">
        <v>0</v>
      </c>
      <c r="AO16" s="245">
        <v>0</v>
      </c>
      <c r="AP16" s="245">
        <v>0</v>
      </c>
      <c r="AQ16" s="159"/>
      <c r="AR16" s="245">
        <v>0</v>
      </c>
      <c r="AS16" s="245">
        <v>4.4467787114846002E-2</v>
      </c>
      <c r="AT16" s="245">
        <v>8.8935574229692005E-2</v>
      </c>
      <c r="AU16" s="245">
        <v>0.34091970121381798</v>
      </c>
      <c r="AV16" s="245">
        <v>0.34091970121381998</v>
      </c>
      <c r="AW16" s="245">
        <v>0.34091970121381998</v>
      </c>
      <c r="AX16" s="245">
        <v>0.34091970121381798</v>
      </c>
      <c r="AY16" s="245">
        <v>0.34091970121381998</v>
      </c>
      <c r="AZ16" s="245">
        <v>0.34091970121381998</v>
      </c>
      <c r="BA16" s="245">
        <v>0.34091970121381798</v>
      </c>
      <c r="BB16" s="245">
        <v>0.34091970121381998</v>
      </c>
      <c r="BC16" s="245">
        <v>0.34091970121381998</v>
      </c>
      <c r="BD16" s="245">
        <v>0.34091970121381798</v>
      </c>
      <c r="BE16" s="245">
        <v>0.34091970121381998</v>
      </c>
      <c r="BF16" s="153"/>
      <c r="BG16" s="246">
        <v>0</v>
      </c>
      <c r="BH16" s="247">
        <v>0</v>
      </c>
      <c r="BI16" s="247">
        <v>0</v>
      </c>
      <c r="BJ16" s="247">
        <v>0</v>
      </c>
      <c r="BK16" s="247">
        <v>0</v>
      </c>
      <c r="BL16" s="247">
        <v>0</v>
      </c>
      <c r="BM16" s="247">
        <v>0</v>
      </c>
      <c r="BN16" s="247">
        <v>0</v>
      </c>
      <c r="BO16" s="247">
        <v>0</v>
      </c>
      <c r="BP16" s="247">
        <v>0</v>
      </c>
      <c r="BQ16" s="247">
        <v>0</v>
      </c>
      <c r="BR16" s="247">
        <v>0</v>
      </c>
      <c r="BS16" s="247">
        <v>0</v>
      </c>
      <c r="BT16" s="247">
        <v>0</v>
      </c>
      <c r="BU16" s="169"/>
      <c r="BV16" s="263">
        <v>0</v>
      </c>
      <c r="BW16" s="264">
        <v>0</v>
      </c>
      <c r="BX16" s="265">
        <v>0</v>
      </c>
      <c r="BY16" s="265">
        <v>0</v>
      </c>
      <c r="BZ16" s="266">
        <v>0</v>
      </c>
      <c r="CA16" s="266">
        <v>0</v>
      </c>
      <c r="CB16" s="266">
        <v>0</v>
      </c>
      <c r="CC16" s="266">
        <v>0</v>
      </c>
      <c r="CD16" s="266">
        <v>0</v>
      </c>
      <c r="CE16" s="266">
        <v>0</v>
      </c>
      <c r="CF16" s="266">
        <v>0</v>
      </c>
      <c r="CG16" s="266">
        <v>0</v>
      </c>
      <c r="CH16" s="266">
        <v>0</v>
      </c>
      <c r="CI16" s="248">
        <v>0</v>
      </c>
      <c r="CJ16" s="258">
        <v>0</v>
      </c>
      <c r="CK16" s="257">
        <v>0</v>
      </c>
      <c r="CL16" s="250">
        <v>0</v>
      </c>
      <c r="CM16" s="250">
        <v>0</v>
      </c>
      <c r="CN16" s="250">
        <v>0</v>
      </c>
      <c r="CO16" s="250">
        <v>0</v>
      </c>
      <c r="CP16" s="250">
        <v>0</v>
      </c>
      <c r="CQ16" s="250">
        <v>0</v>
      </c>
      <c r="CR16" s="250">
        <v>0</v>
      </c>
      <c r="CS16" s="250">
        <v>0</v>
      </c>
      <c r="CT16" s="250">
        <v>0</v>
      </c>
      <c r="CU16" s="250">
        <v>0</v>
      </c>
      <c r="CV16" s="250">
        <v>0</v>
      </c>
      <c r="CW16" s="250">
        <v>0</v>
      </c>
      <c r="CX16" s="249">
        <v>0</v>
      </c>
      <c r="CY16" s="251">
        <v>0</v>
      </c>
      <c r="CZ16" s="127"/>
      <c r="DA16" s="187" t="e">
        <v>#DIV/0!</v>
      </c>
      <c r="DB16" s="127" t="s">
        <v>126</v>
      </c>
    </row>
    <row r="17" spans="1:107" x14ac:dyDescent="0.35">
      <c r="A17" s="62" t="s">
        <v>127</v>
      </c>
      <c r="B17" s="46" t="s">
        <v>106</v>
      </c>
      <c r="C17" s="345"/>
      <c r="D17" s="253" t="s">
        <v>30</v>
      </c>
      <c r="E17" s="180" t="s">
        <v>31</v>
      </c>
      <c r="F17" s="260"/>
      <c r="G17" s="241">
        <v>1.85</v>
      </c>
      <c r="H17" s="261" t="s">
        <v>123</v>
      </c>
      <c r="I17" s="261"/>
      <c r="J17" s="261"/>
      <c r="K17" s="262">
        <v>2</v>
      </c>
      <c r="M17" s="244">
        <v>12</v>
      </c>
      <c r="N17" s="216">
        <v>814.6</v>
      </c>
      <c r="O17" s="217">
        <v>915</v>
      </c>
      <c r="P17" s="217">
        <v>942</v>
      </c>
      <c r="Q17" s="217">
        <v>951</v>
      </c>
      <c r="R17" s="217">
        <v>932</v>
      </c>
      <c r="S17" s="217">
        <v>1015</v>
      </c>
      <c r="T17" s="217">
        <v>1089.2</v>
      </c>
      <c r="U17" s="217">
        <v>1057</v>
      </c>
      <c r="V17" s="217">
        <v>1066.5</v>
      </c>
      <c r="W17" s="217">
        <v>1062</v>
      </c>
      <c r="X17" s="217">
        <v>1045</v>
      </c>
      <c r="Y17" s="217">
        <v>1125.5</v>
      </c>
      <c r="Z17" s="217">
        <v>1118.5999999999999</v>
      </c>
      <c r="AA17" s="217">
        <v>1090</v>
      </c>
      <c r="AB17" s="159"/>
      <c r="AC17" s="245">
        <v>10.95355742296918</v>
      </c>
      <c r="AD17" s="245">
        <v>12.2418495175848</v>
      </c>
      <c r="AE17" s="245">
        <v>12.679419545596019</v>
      </c>
      <c r="AF17" s="245">
        <v>12.82515483971366</v>
      </c>
      <c r="AG17" s="245">
        <v>12.7711854186119</v>
      </c>
      <c r="AH17" s="245">
        <v>13.233778789293501</v>
      </c>
      <c r="AI17" s="245">
        <v>14.0494938530968</v>
      </c>
      <c r="AJ17" s="245">
        <v>13.562266573295981</v>
      </c>
      <c r="AK17" s="245">
        <v>13.547073412698429</v>
      </c>
      <c r="AL17" s="245">
        <v>13.526960784313721</v>
      </c>
      <c r="AM17" s="245">
        <v>13.361704403983831</v>
      </c>
      <c r="AN17" s="245">
        <v>14.8456767429194</v>
      </c>
      <c r="AO17" s="245">
        <v>14.817098895113601</v>
      </c>
      <c r="AP17" s="245">
        <v>14.415324463118569</v>
      </c>
      <c r="AQ17" s="159"/>
      <c r="AR17" s="245">
        <v>10.95355742296918</v>
      </c>
      <c r="AS17" s="245">
        <v>12.2418495175848</v>
      </c>
      <c r="AT17" s="245">
        <v>12.679419545596019</v>
      </c>
      <c r="AU17" s="245">
        <v>12.82515483971366</v>
      </c>
      <c r="AV17" s="245">
        <v>12.7711854186119</v>
      </c>
      <c r="AW17" s="245">
        <v>13.233778789293501</v>
      </c>
      <c r="AX17" s="245">
        <v>14.0494938530968</v>
      </c>
      <c r="AY17" s="245">
        <v>13.562266573295981</v>
      </c>
      <c r="AZ17" s="245">
        <v>13.547073412698429</v>
      </c>
      <c r="BA17" s="245">
        <v>13.526960784313721</v>
      </c>
      <c r="BB17" s="245">
        <v>13.361704403983831</v>
      </c>
      <c r="BC17" s="245">
        <v>14.8456767429194</v>
      </c>
      <c r="BD17" s="245">
        <v>14.817098895113601</v>
      </c>
      <c r="BE17" s="245">
        <v>14.415324463118569</v>
      </c>
      <c r="BF17" s="153"/>
      <c r="BG17" s="246">
        <v>0.91279645191409831</v>
      </c>
      <c r="BH17" s="247">
        <v>1.0201541264653999</v>
      </c>
      <c r="BI17" s="247">
        <v>0.97533996504584808</v>
      </c>
      <c r="BJ17" s="247">
        <v>0.986550372285666</v>
      </c>
      <c r="BK17" s="247">
        <v>0.98239887835476147</v>
      </c>
      <c r="BL17" s="247">
        <v>1.203070799026682</v>
      </c>
      <c r="BM17" s="247">
        <v>1.277226713917891</v>
      </c>
      <c r="BN17" s="247">
        <v>12.96035431946739</v>
      </c>
      <c r="BO17" s="247">
        <v>1.203070799026682</v>
      </c>
      <c r="BP17" s="247">
        <v>1.277226713917891</v>
      </c>
      <c r="BQ17" s="247">
        <v>12.96035431946739</v>
      </c>
      <c r="BR17" s="247">
        <v>-56.014473578382862</v>
      </c>
      <c r="BS17" s="247">
        <v>42.195213708406222</v>
      </c>
      <c r="BT17" s="247">
        <v>76.420213073679122</v>
      </c>
      <c r="BU17" s="169"/>
      <c r="BV17" s="263">
        <v>12</v>
      </c>
      <c r="BW17" s="264">
        <v>12</v>
      </c>
      <c r="BX17" s="265">
        <v>13</v>
      </c>
      <c r="BY17" s="265">
        <v>13</v>
      </c>
      <c r="BZ17" s="266">
        <v>13</v>
      </c>
      <c r="CA17" s="266">
        <v>11</v>
      </c>
      <c r="CB17" s="266">
        <v>11</v>
      </c>
      <c r="CC17" s="266">
        <v>11</v>
      </c>
      <c r="CD17" s="266">
        <v>11</v>
      </c>
      <c r="CE17" s="266">
        <v>11</v>
      </c>
      <c r="CF17" s="266">
        <v>11</v>
      </c>
      <c r="CG17" s="266">
        <v>11</v>
      </c>
      <c r="CH17" s="266">
        <v>11</v>
      </c>
      <c r="CI17" s="248">
        <v>11</v>
      </c>
      <c r="CJ17" s="258">
        <v>1.0464425770308201</v>
      </c>
      <c r="CK17" s="257">
        <v>-0.24184951758480011</v>
      </c>
      <c r="CL17" s="250">
        <v>0.32058045440397542</v>
      </c>
      <c r="CM17" s="250">
        <v>0.17484516028634189</v>
      </c>
      <c r="CN17" s="250">
        <v>0.22881458138810021</v>
      </c>
      <c r="CO17" s="250">
        <v>-2.2337787892935008</v>
      </c>
      <c r="CP17" s="250">
        <v>-3.0494938530967999</v>
      </c>
      <c r="CQ17" s="250">
        <v>-2.5622665732959748</v>
      </c>
      <c r="CR17" s="250">
        <v>-2.5470734126984258</v>
      </c>
      <c r="CS17" s="250">
        <v>-2.526960784313721</v>
      </c>
      <c r="CT17" s="250">
        <v>-2.361704403983826</v>
      </c>
      <c r="CU17" s="250">
        <v>-3.8456767429193999</v>
      </c>
      <c r="CV17" s="250">
        <v>-3.8170988951135989</v>
      </c>
      <c r="CW17" s="250">
        <v>-3.4153244631185751</v>
      </c>
      <c r="CX17" s="249">
        <v>-0.53634848383798051</v>
      </c>
      <c r="CY17" s="251">
        <v>1.0464425770308201</v>
      </c>
      <c r="CZ17" s="127"/>
      <c r="DA17" s="187">
        <v>1.044169875139598</v>
      </c>
      <c r="DB17" s="127" t="s">
        <v>124</v>
      </c>
    </row>
    <row r="18" spans="1:107" x14ac:dyDescent="0.35">
      <c r="A18" s="62" t="s">
        <v>128</v>
      </c>
      <c r="B18" s="46" t="s">
        <v>106</v>
      </c>
      <c r="C18" s="345"/>
      <c r="D18" s="253" t="s">
        <v>128</v>
      </c>
      <c r="E18" s="180" t="s">
        <v>129</v>
      </c>
      <c r="F18" s="260"/>
      <c r="G18" s="241">
        <v>0.85</v>
      </c>
      <c r="H18" s="242" t="s">
        <v>108</v>
      </c>
      <c r="I18" s="242" t="s">
        <v>109</v>
      </c>
      <c r="J18" s="242" t="s">
        <v>110</v>
      </c>
      <c r="K18" s="255">
        <v>1</v>
      </c>
      <c r="M18" s="244">
        <v>1</v>
      </c>
      <c r="N18" s="216">
        <v>0</v>
      </c>
      <c r="O18" s="217">
        <v>0</v>
      </c>
      <c r="P18" s="217">
        <v>0</v>
      </c>
      <c r="Q18" s="217">
        <v>0</v>
      </c>
      <c r="R18" s="217">
        <v>0</v>
      </c>
      <c r="S18" s="217">
        <v>0</v>
      </c>
      <c r="T18" s="217">
        <v>0</v>
      </c>
      <c r="U18" s="217">
        <v>0</v>
      </c>
      <c r="V18" s="217">
        <v>0</v>
      </c>
      <c r="W18" s="217">
        <v>0</v>
      </c>
      <c r="X18" s="217">
        <v>0</v>
      </c>
      <c r="Y18" s="217">
        <v>0</v>
      </c>
      <c r="Z18" s="217">
        <v>0</v>
      </c>
      <c r="AA18" s="217">
        <v>0</v>
      </c>
      <c r="AB18" s="159"/>
      <c r="AC18" s="245">
        <v>0</v>
      </c>
      <c r="AD18" s="245">
        <v>0</v>
      </c>
      <c r="AE18" s="245">
        <v>0</v>
      </c>
      <c r="AF18" s="245">
        <v>0</v>
      </c>
      <c r="AG18" s="245">
        <v>0</v>
      </c>
      <c r="AH18" s="245">
        <v>0</v>
      </c>
      <c r="AI18" s="245">
        <v>0</v>
      </c>
      <c r="AJ18" s="245">
        <v>0</v>
      </c>
      <c r="AK18" s="245">
        <v>0</v>
      </c>
      <c r="AL18" s="245">
        <v>0</v>
      </c>
      <c r="AM18" s="245">
        <v>0</v>
      </c>
      <c r="AN18" s="245">
        <v>0</v>
      </c>
      <c r="AO18" s="245">
        <v>0</v>
      </c>
      <c r="AP18" s="245">
        <v>0</v>
      </c>
      <c r="AQ18" s="159"/>
      <c r="AR18" s="245">
        <v>0</v>
      </c>
      <c r="AS18" s="245">
        <v>0</v>
      </c>
      <c r="AT18" s="245">
        <v>0</v>
      </c>
      <c r="AU18" s="245">
        <v>0</v>
      </c>
      <c r="AV18" s="245">
        <v>0</v>
      </c>
      <c r="AW18" s="245">
        <v>0</v>
      </c>
      <c r="AX18" s="245">
        <v>0</v>
      </c>
      <c r="AY18" s="245">
        <v>0</v>
      </c>
      <c r="AZ18" s="245">
        <v>0</v>
      </c>
      <c r="BA18" s="245">
        <v>0</v>
      </c>
      <c r="BB18" s="245">
        <v>0</v>
      </c>
      <c r="BC18" s="245">
        <v>0</v>
      </c>
      <c r="BD18" s="245">
        <v>0</v>
      </c>
      <c r="BE18" s="245">
        <v>0</v>
      </c>
      <c r="BF18" s="153"/>
      <c r="BG18" s="246">
        <v>0</v>
      </c>
      <c r="BH18" s="247">
        <v>0</v>
      </c>
      <c r="BI18" s="247">
        <v>0</v>
      </c>
      <c r="BJ18" s="247">
        <v>0</v>
      </c>
      <c r="BK18" s="247">
        <v>0</v>
      </c>
      <c r="BL18" s="247">
        <v>0</v>
      </c>
      <c r="BM18" s="247">
        <v>0</v>
      </c>
      <c r="BN18" s="247">
        <v>0</v>
      </c>
      <c r="BO18" s="247">
        <v>0</v>
      </c>
      <c r="BP18" s="247">
        <v>0</v>
      </c>
      <c r="BQ18" s="247">
        <v>0</v>
      </c>
      <c r="BR18" s="247">
        <v>0</v>
      </c>
      <c r="BS18" s="247">
        <v>0</v>
      </c>
      <c r="BT18" s="247">
        <v>0</v>
      </c>
      <c r="BU18" s="169"/>
      <c r="BV18" s="263">
        <v>1</v>
      </c>
      <c r="BW18" s="264">
        <v>1</v>
      </c>
      <c r="BX18" s="265">
        <v>1</v>
      </c>
      <c r="BY18" s="265">
        <v>1</v>
      </c>
      <c r="BZ18" s="51">
        <v>1</v>
      </c>
      <c r="CA18" s="51">
        <v>1</v>
      </c>
      <c r="CB18" s="51">
        <v>1</v>
      </c>
      <c r="CC18" s="51">
        <v>1</v>
      </c>
      <c r="CD18" s="51">
        <v>1</v>
      </c>
      <c r="CE18" s="51">
        <v>1</v>
      </c>
      <c r="CF18" s="51">
        <v>1</v>
      </c>
      <c r="CG18" s="51">
        <v>1</v>
      </c>
      <c r="CH18" s="51">
        <v>1</v>
      </c>
      <c r="CI18" s="248">
        <v>1</v>
      </c>
      <c r="CJ18" s="249">
        <v>1</v>
      </c>
      <c r="CK18" s="250">
        <v>1</v>
      </c>
      <c r="CL18" s="250">
        <v>1</v>
      </c>
      <c r="CM18" s="250">
        <v>1</v>
      </c>
      <c r="CN18" s="250">
        <v>1</v>
      </c>
      <c r="CO18" s="250">
        <v>1</v>
      </c>
      <c r="CP18" s="250">
        <v>1</v>
      </c>
      <c r="CQ18" s="250">
        <v>1</v>
      </c>
      <c r="CR18" s="250">
        <v>1</v>
      </c>
      <c r="CS18" s="250">
        <v>1</v>
      </c>
      <c r="CT18" s="250">
        <v>1</v>
      </c>
      <c r="CU18" s="250">
        <v>1</v>
      </c>
      <c r="CV18" s="250">
        <v>1</v>
      </c>
      <c r="CW18" s="250">
        <v>1</v>
      </c>
      <c r="CX18" s="249">
        <v>1</v>
      </c>
      <c r="CY18" s="251">
        <v>1</v>
      </c>
      <c r="CZ18" s="127"/>
      <c r="DA18" s="187">
        <v>0</v>
      </c>
      <c r="DB18" s="127" t="s">
        <v>130</v>
      </c>
    </row>
    <row r="19" spans="1:107" x14ac:dyDescent="0.35">
      <c r="A19" s="62" t="s">
        <v>128</v>
      </c>
      <c r="B19" s="46" t="s">
        <v>106</v>
      </c>
      <c r="C19" s="345"/>
      <c r="D19" s="253" t="s">
        <v>131</v>
      </c>
      <c r="E19" s="180" t="s">
        <v>50</v>
      </c>
      <c r="F19" s="260"/>
      <c r="G19" s="241">
        <v>0.85</v>
      </c>
      <c r="H19" s="261" t="s">
        <v>108</v>
      </c>
      <c r="I19" s="261" t="s">
        <v>109</v>
      </c>
      <c r="J19" s="261" t="s">
        <v>110</v>
      </c>
      <c r="K19" s="262">
        <v>2</v>
      </c>
      <c r="M19" s="244">
        <v>1</v>
      </c>
      <c r="N19" s="216">
        <v>0</v>
      </c>
      <c r="O19" s="217">
        <v>0</v>
      </c>
      <c r="P19" s="217">
        <v>0</v>
      </c>
      <c r="Q19" s="217">
        <v>0</v>
      </c>
      <c r="R19" s="217">
        <v>0</v>
      </c>
      <c r="S19" s="217">
        <v>0</v>
      </c>
      <c r="T19" s="217">
        <v>0</v>
      </c>
      <c r="U19" s="217">
        <v>0</v>
      </c>
      <c r="V19" s="217">
        <v>0</v>
      </c>
      <c r="W19" s="217">
        <v>0</v>
      </c>
      <c r="X19" s="217">
        <v>0</v>
      </c>
      <c r="Y19" s="217">
        <v>0</v>
      </c>
      <c r="Z19" s="217">
        <v>0</v>
      </c>
      <c r="AA19" s="217">
        <v>0</v>
      </c>
      <c r="AB19" s="159"/>
      <c r="AC19" s="245">
        <v>0</v>
      </c>
      <c r="AD19" s="245">
        <v>0</v>
      </c>
      <c r="AE19" s="245">
        <v>0</v>
      </c>
      <c r="AF19" s="245">
        <v>0</v>
      </c>
      <c r="AG19" s="245">
        <v>0</v>
      </c>
      <c r="AH19" s="245">
        <v>0</v>
      </c>
      <c r="AI19" s="245">
        <v>0</v>
      </c>
      <c r="AJ19" s="245">
        <v>0</v>
      </c>
      <c r="AK19" s="245">
        <v>0</v>
      </c>
      <c r="AL19" s="245">
        <v>0</v>
      </c>
      <c r="AM19" s="245">
        <v>0</v>
      </c>
      <c r="AN19" s="245">
        <v>0</v>
      </c>
      <c r="AO19" s="245">
        <v>0</v>
      </c>
      <c r="AP19" s="245">
        <v>0</v>
      </c>
      <c r="AQ19" s="159"/>
      <c r="AR19" s="245">
        <v>0</v>
      </c>
      <c r="AS19" s="245">
        <v>0</v>
      </c>
      <c r="AT19" s="245">
        <v>0</v>
      </c>
      <c r="AU19" s="245">
        <v>0</v>
      </c>
      <c r="AV19" s="245">
        <v>0</v>
      </c>
      <c r="AW19" s="245">
        <v>0</v>
      </c>
      <c r="AX19" s="245">
        <v>0</v>
      </c>
      <c r="AY19" s="245">
        <v>0</v>
      </c>
      <c r="AZ19" s="245">
        <v>0</v>
      </c>
      <c r="BA19" s="245">
        <v>0</v>
      </c>
      <c r="BB19" s="245">
        <v>0</v>
      </c>
      <c r="BC19" s="245">
        <v>0</v>
      </c>
      <c r="BD19" s="245">
        <v>0</v>
      </c>
      <c r="BE19" s="245">
        <v>0</v>
      </c>
      <c r="BF19" s="153"/>
      <c r="BG19" s="246">
        <v>0</v>
      </c>
      <c r="BH19" s="247">
        <v>0</v>
      </c>
      <c r="BI19" s="247">
        <v>0</v>
      </c>
      <c r="BJ19" s="247">
        <v>0</v>
      </c>
      <c r="BK19" s="247">
        <v>0</v>
      </c>
      <c r="BL19" s="247">
        <v>0</v>
      </c>
      <c r="BM19" s="247">
        <v>0</v>
      </c>
      <c r="BN19" s="247">
        <v>0</v>
      </c>
      <c r="BO19" s="247">
        <v>0</v>
      </c>
      <c r="BP19" s="247">
        <v>0</v>
      </c>
      <c r="BQ19" s="247">
        <v>0</v>
      </c>
      <c r="BR19" s="247">
        <v>0</v>
      </c>
      <c r="BS19" s="247">
        <v>0</v>
      </c>
      <c r="BT19" s="247">
        <v>0</v>
      </c>
      <c r="BU19" s="169"/>
      <c r="BV19" s="263">
        <v>1</v>
      </c>
      <c r="BW19" s="264">
        <v>1</v>
      </c>
      <c r="BX19" s="265">
        <v>1</v>
      </c>
      <c r="BY19" s="265">
        <v>1</v>
      </c>
      <c r="BZ19" s="266">
        <v>1</v>
      </c>
      <c r="CA19" s="266">
        <v>1</v>
      </c>
      <c r="CB19" s="266">
        <v>1</v>
      </c>
      <c r="CC19" s="266">
        <v>1</v>
      </c>
      <c r="CD19" s="266">
        <v>1</v>
      </c>
      <c r="CE19" s="266">
        <v>1</v>
      </c>
      <c r="CF19" s="266">
        <v>1</v>
      </c>
      <c r="CG19" s="266">
        <v>1</v>
      </c>
      <c r="CH19" s="266">
        <v>1</v>
      </c>
      <c r="CI19" s="248">
        <v>1</v>
      </c>
      <c r="CJ19" s="249">
        <v>1</v>
      </c>
      <c r="CK19" s="250">
        <v>1</v>
      </c>
      <c r="CL19" s="250">
        <v>1</v>
      </c>
      <c r="CM19" s="250">
        <v>1</v>
      </c>
      <c r="CN19" s="250">
        <v>1</v>
      </c>
      <c r="CO19" s="250">
        <v>1</v>
      </c>
      <c r="CP19" s="250">
        <v>1</v>
      </c>
      <c r="CQ19" s="250">
        <v>1</v>
      </c>
      <c r="CR19" s="250">
        <v>1</v>
      </c>
      <c r="CS19" s="250">
        <v>1</v>
      </c>
      <c r="CT19" s="250">
        <v>1</v>
      </c>
      <c r="CU19" s="250">
        <v>1</v>
      </c>
      <c r="CV19" s="250">
        <v>1</v>
      </c>
      <c r="CW19" s="250">
        <v>1</v>
      </c>
      <c r="CX19" s="249">
        <v>1</v>
      </c>
      <c r="CY19" s="251">
        <v>1</v>
      </c>
      <c r="CZ19" s="127"/>
      <c r="DA19" s="187">
        <v>0</v>
      </c>
      <c r="DB19" s="127" t="s">
        <v>132</v>
      </c>
    </row>
    <row r="20" spans="1:107" x14ac:dyDescent="0.35">
      <c r="A20" s="62" t="s">
        <v>133</v>
      </c>
      <c r="B20" s="46" t="s">
        <v>106</v>
      </c>
      <c r="C20" s="345"/>
      <c r="D20" s="253" t="s">
        <v>134</v>
      </c>
      <c r="E20" s="180" t="s">
        <v>135</v>
      </c>
      <c r="F20" s="254" t="s">
        <v>136</v>
      </c>
      <c r="G20" s="241">
        <v>0.85</v>
      </c>
      <c r="H20" s="267" t="s">
        <v>137</v>
      </c>
      <c r="I20" s="267" t="s">
        <v>138</v>
      </c>
      <c r="J20" s="261" t="s">
        <v>139</v>
      </c>
      <c r="K20" s="262">
        <v>11</v>
      </c>
      <c r="M20" s="244">
        <v>7</v>
      </c>
      <c r="N20" s="216">
        <v>180</v>
      </c>
      <c r="O20" s="217">
        <v>156.25</v>
      </c>
      <c r="P20" s="217">
        <v>125</v>
      </c>
      <c r="Q20" s="217">
        <v>120</v>
      </c>
      <c r="R20" s="217">
        <v>106.25</v>
      </c>
      <c r="S20" s="217">
        <v>100</v>
      </c>
      <c r="T20" s="217">
        <v>120</v>
      </c>
      <c r="U20" s="217">
        <v>62.5</v>
      </c>
      <c r="V20" s="217">
        <v>0</v>
      </c>
      <c r="W20" s="217">
        <v>0</v>
      </c>
      <c r="X20" s="217">
        <v>0</v>
      </c>
      <c r="Y20" s="217">
        <v>0</v>
      </c>
      <c r="Z20" s="217">
        <v>0</v>
      </c>
      <c r="AA20" s="217">
        <v>0</v>
      </c>
      <c r="AB20" s="159"/>
      <c r="AC20" s="245">
        <v>3.3948218176159402</v>
      </c>
      <c r="AD20" s="245">
        <v>2.7299009881730498</v>
      </c>
      <c r="AE20" s="245">
        <v>2.1732512449424219</v>
      </c>
      <c r="AF20" s="245">
        <v>2.12484438219732</v>
      </c>
      <c r="AG20" s="245">
        <v>1.89649470899471</v>
      </c>
      <c r="AH20" s="245">
        <v>1.7994037892934951</v>
      </c>
      <c r="AI20" s="245">
        <v>2.2710862122626798</v>
      </c>
      <c r="AJ20" s="245">
        <v>1.11329948646125</v>
      </c>
      <c r="AK20" s="245">
        <v>0</v>
      </c>
      <c r="AL20" s="245">
        <v>0</v>
      </c>
      <c r="AM20" s="245">
        <v>0</v>
      </c>
      <c r="AN20" s="245">
        <v>0</v>
      </c>
      <c r="AO20" s="245">
        <v>0</v>
      </c>
      <c r="AP20" s="245">
        <v>0</v>
      </c>
      <c r="AQ20" s="159"/>
      <c r="AR20" s="245">
        <v>3.3477474323062602</v>
      </c>
      <c r="AS20" s="245">
        <v>2.6975373482726499</v>
      </c>
      <c r="AT20" s="245">
        <v>1.846380913476503</v>
      </c>
      <c r="AU20" s="245">
        <v>2.9910714285714222</v>
      </c>
      <c r="AV20" s="245">
        <v>2.991144374416435</v>
      </c>
      <c r="AW20" s="245">
        <v>2.9437782057267352</v>
      </c>
      <c r="AX20" s="245">
        <v>8.0994592281357001</v>
      </c>
      <c r="AY20" s="245">
        <v>3.0313375350140079</v>
      </c>
      <c r="AZ20" s="245">
        <v>0</v>
      </c>
      <c r="BA20" s="245">
        <v>0</v>
      </c>
      <c r="BB20" s="245">
        <v>0</v>
      </c>
      <c r="BC20" s="245">
        <v>0</v>
      </c>
      <c r="BD20" s="245">
        <v>0</v>
      </c>
      <c r="BE20" s="245">
        <v>0</v>
      </c>
      <c r="BF20" s="153"/>
      <c r="BG20" s="246">
        <v>0.48497454537370571</v>
      </c>
      <c r="BH20" s="247">
        <v>0.38998585545329278</v>
      </c>
      <c r="BI20" s="247">
        <v>0.31046446356320317</v>
      </c>
      <c r="BJ20" s="247">
        <v>0.30354919745676001</v>
      </c>
      <c r="BK20" s="247">
        <v>0.27092781557067291</v>
      </c>
      <c r="BL20" s="247">
        <v>0.25705768418478497</v>
      </c>
      <c r="BM20" s="247">
        <v>0.32444088746609712</v>
      </c>
      <c r="BN20" s="247">
        <v>0.30880567620794791</v>
      </c>
      <c r="BO20" s="247">
        <v>0.25705768418478497</v>
      </c>
      <c r="BP20" s="247">
        <v>0.32444088746609712</v>
      </c>
      <c r="BQ20" s="247">
        <v>0.30880567620794791</v>
      </c>
      <c r="BR20" s="247">
        <v>0</v>
      </c>
      <c r="BS20" s="247">
        <v>0</v>
      </c>
      <c r="BT20" s="247">
        <v>0</v>
      </c>
      <c r="BU20" s="169"/>
      <c r="BV20" s="263">
        <v>7</v>
      </c>
      <c r="BW20" s="264">
        <v>7</v>
      </c>
      <c r="BX20" s="265">
        <v>7</v>
      </c>
      <c r="BY20" s="266">
        <v>7</v>
      </c>
      <c r="BZ20" s="266">
        <v>7</v>
      </c>
      <c r="CA20" s="266">
        <v>7</v>
      </c>
      <c r="CB20" s="266">
        <v>7</v>
      </c>
      <c r="CC20" s="266">
        <v>7</v>
      </c>
      <c r="CD20" s="266">
        <v>7</v>
      </c>
      <c r="CE20" s="266">
        <v>7</v>
      </c>
      <c r="CF20" s="266">
        <v>7</v>
      </c>
      <c r="CG20" s="266">
        <v>7</v>
      </c>
      <c r="CH20" s="266">
        <v>7</v>
      </c>
      <c r="CI20" s="248">
        <v>7</v>
      </c>
      <c r="CJ20" s="249">
        <v>3.6051781823840598</v>
      </c>
      <c r="CK20" s="250">
        <v>4.2700990118269502</v>
      </c>
      <c r="CL20" s="250">
        <v>4.8267487550575776</v>
      </c>
      <c r="CM20" s="250">
        <v>4.8751556178026796</v>
      </c>
      <c r="CN20" s="250">
        <v>5.1035052910052903</v>
      </c>
      <c r="CO20" s="250">
        <v>5.2005962107065047</v>
      </c>
      <c r="CP20" s="250">
        <v>4.7289137877373202</v>
      </c>
      <c r="CQ20" s="250">
        <v>5.8867005135387496</v>
      </c>
      <c r="CR20" s="250">
        <v>7</v>
      </c>
      <c r="CS20" s="250">
        <v>7</v>
      </c>
      <c r="CT20" s="250">
        <v>7</v>
      </c>
      <c r="CU20" s="250">
        <v>7</v>
      </c>
      <c r="CV20" s="250">
        <v>7</v>
      </c>
      <c r="CW20" s="250">
        <v>7</v>
      </c>
      <c r="CX20" s="249">
        <v>4.6585995509314833</v>
      </c>
      <c r="CY20" s="251">
        <v>5.2005962107065047</v>
      </c>
      <c r="CZ20" s="127"/>
      <c r="DA20" s="187">
        <v>0.33448577843835958</v>
      </c>
      <c r="DB20" s="127" t="s">
        <v>140</v>
      </c>
      <c r="DC20" s="104"/>
    </row>
    <row r="21" spans="1:107" x14ac:dyDescent="0.35">
      <c r="A21" s="62" t="s">
        <v>141</v>
      </c>
      <c r="B21" s="46" t="s">
        <v>106</v>
      </c>
      <c r="C21" s="345"/>
      <c r="D21" s="253" t="s">
        <v>41</v>
      </c>
      <c r="E21" s="180" t="s">
        <v>42</v>
      </c>
      <c r="F21" s="254" t="s">
        <v>142</v>
      </c>
      <c r="G21" s="268">
        <v>0.9</v>
      </c>
      <c r="H21" s="261" t="s">
        <v>137</v>
      </c>
      <c r="I21" s="261" t="s">
        <v>143</v>
      </c>
      <c r="J21" s="261" t="s">
        <v>144</v>
      </c>
      <c r="K21" s="262">
        <v>23</v>
      </c>
      <c r="M21" s="244">
        <v>33</v>
      </c>
      <c r="N21" s="216">
        <v>1575.4</v>
      </c>
      <c r="O21" s="217">
        <v>1737.5</v>
      </c>
      <c r="P21" s="217">
        <v>1849.75</v>
      </c>
      <c r="Q21" s="217">
        <v>2669.6</v>
      </c>
      <c r="R21" s="217">
        <v>2739</v>
      </c>
      <c r="S21" s="217">
        <v>2823</v>
      </c>
      <c r="T21" s="217">
        <v>2336.1999999999998</v>
      </c>
      <c r="U21" s="217">
        <v>1133</v>
      </c>
      <c r="V21" s="217">
        <v>1320.5</v>
      </c>
      <c r="W21" s="217">
        <v>1360.6</v>
      </c>
      <c r="X21" s="217">
        <v>1216</v>
      </c>
      <c r="Y21" s="217">
        <v>1455.25</v>
      </c>
      <c r="Z21" s="217">
        <v>1495</v>
      </c>
      <c r="AA21" s="217">
        <v>933</v>
      </c>
      <c r="AB21" s="159"/>
      <c r="AC21" s="245">
        <v>32.406096973629438</v>
      </c>
      <c r="AD21" s="245">
        <v>32.605473922148818</v>
      </c>
      <c r="AE21" s="245">
        <v>34.643334216925872</v>
      </c>
      <c r="AF21" s="245">
        <v>32.385550796712643</v>
      </c>
      <c r="AG21" s="245">
        <v>25.762434802792001</v>
      </c>
      <c r="AH21" s="245">
        <v>28.322760957480209</v>
      </c>
      <c r="AI21" s="245">
        <v>22.678979268772999</v>
      </c>
      <c r="AJ21" s="245">
        <v>20.888989776701649</v>
      </c>
      <c r="AK21" s="245">
        <v>23.813223029324721</v>
      </c>
      <c r="AL21" s="245">
        <v>23.915740740740802</v>
      </c>
      <c r="AM21" s="245">
        <v>26.027626446058751</v>
      </c>
      <c r="AN21" s="245">
        <v>32.199173560667248</v>
      </c>
      <c r="AO21" s="245">
        <v>35.704091561295002</v>
      </c>
      <c r="AP21" s="245">
        <v>21.538847412788101</v>
      </c>
      <c r="AQ21" s="159"/>
      <c r="AR21" s="245">
        <v>32.782156295663242</v>
      </c>
      <c r="AS21" s="245">
        <v>32.605473922148818</v>
      </c>
      <c r="AT21" s="245">
        <v>34.643334216925872</v>
      </c>
      <c r="AU21" s="245">
        <v>32.385550796712643</v>
      </c>
      <c r="AV21" s="245">
        <v>25.762434802792001</v>
      </c>
      <c r="AW21" s="245">
        <v>28.322760957480209</v>
      </c>
      <c r="AX21" s="245">
        <v>22.678979268772999</v>
      </c>
      <c r="AY21" s="245">
        <v>20.888989776701649</v>
      </c>
      <c r="AZ21" s="245">
        <v>23.813223029324721</v>
      </c>
      <c r="BA21" s="245">
        <v>23.915740740740802</v>
      </c>
      <c r="BB21" s="245">
        <v>26.027626446058751</v>
      </c>
      <c r="BC21" s="245">
        <v>32.199173560667248</v>
      </c>
      <c r="BD21" s="245">
        <v>35.704091561295002</v>
      </c>
      <c r="BE21" s="245">
        <v>21.538847412788101</v>
      </c>
      <c r="BF21" s="153"/>
      <c r="BG21" s="246">
        <v>0.98200293859483145</v>
      </c>
      <c r="BH21" s="247">
        <v>0.9880446643075399</v>
      </c>
      <c r="BI21" s="247">
        <v>1.0497980065735111</v>
      </c>
      <c r="BJ21" s="247">
        <v>0.98138032717311041</v>
      </c>
      <c r="BK21" s="247">
        <v>0.78067984250884848</v>
      </c>
      <c r="BL21" s="247">
        <v>0.85826548356000631</v>
      </c>
      <c r="BM21" s="247">
        <v>0.68724179602342417</v>
      </c>
      <c r="BN21" s="247">
        <v>35.172391533947327</v>
      </c>
      <c r="BO21" s="247">
        <v>0.85826548356000631</v>
      </c>
      <c r="BP21" s="247">
        <v>0.68724179602342417</v>
      </c>
      <c r="BQ21" s="247">
        <v>35.172391533947327</v>
      </c>
      <c r="BR21" s="247">
        <v>60.359059555772177</v>
      </c>
      <c r="BS21" s="247">
        <v>-14.553181266729259</v>
      </c>
      <c r="BT21" s="247">
        <v>42.359280973608008</v>
      </c>
      <c r="BU21" s="169"/>
      <c r="BV21" s="263">
        <v>33</v>
      </c>
      <c r="BW21" s="264">
        <v>33</v>
      </c>
      <c r="BX21" s="265">
        <v>33</v>
      </c>
      <c r="BY21" s="265">
        <v>33</v>
      </c>
      <c r="BZ21" s="266">
        <v>33</v>
      </c>
      <c r="CA21" s="266">
        <v>33</v>
      </c>
      <c r="CB21" s="266">
        <v>33</v>
      </c>
      <c r="CC21" s="266">
        <v>33</v>
      </c>
      <c r="CD21" s="266">
        <v>33</v>
      </c>
      <c r="CE21" s="266">
        <v>33</v>
      </c>
      <c r="CF21" s="266">
        <v>33</v>
      </c>
      <c r="CG21" s="266">
        <v>33</v>
      </c>
      <c r="CH21" s="266">
        <v>33</v>
      </c>
      <c r="CI21" s="248">
        <v>33</v>
      </c>
      <c r="CJ21" s="249">
        <v>0.5939030263705618</v>
      </c>
      <c r="CK21" s="257">
        <v>0.39452607785118232</v>
      </c>
      <c r="CL21" s="250">
        <v>-1.643334216925872</v>
      </c>
      <c r="CM21" s="250">
        <v>0.61444920328735719</v>
      </c>
      <c r="CN21" s="250">
        <v>7.2375651972079993</v>
      </c>
      <c r="CO21" s="250">
        <v>4.6772390425197914</v>
      </c>
      <c r="CP21" s="250">
        <v>10.321020731227</v>
      </c>
      <c r="CQ21" s="250">
        <v>12.111010223298351</v>
      </c>
      <c r="CR21" s="250">
        <v>9.1867769706752753</v>
      </c>
      <c r="CS21" s="250">
        <v>9.084259259259202</v>
      </c>
      <c r="CT21" s="250">
        <v>6.9723735539412486</v>
      </c>
      <c r="CU21" s="250">
        <v>0.80082643933275222</v>
      </c>
      <c r="CV21" s="250">
        <v>-2.7040915612950021</v>
      </c>
      <c r="CW21" s="250">
        <v>11.461152587211901</v>
      </c>
      <c r="CX21" s="249">
        <v>3.1707670087911461</v>
      </c>
      <c r="CY21" s="251">
        <v>10.321020731227</v>
      </c>
      <c r="CZ21" s="127" t="s">
        <v>145</v>
      </c>
      <c r="DA21" s="187">
        <v>0.90391615124875313</v>
      </c>
      <c r="DB21" s="127" t="s">
        <v>146</v>
      </c>
    </row>
    <row r="22" spans="1:107" x14ac:dyDescent="0.35">
      <c r="A22" s="62" t="s">
        <v>147</v>
      </c>
      <c r="B22" s="46" t="s">
        <v>106</v>
      </c>
      <c r="C22" s="345"/>
      <c r="D22" s="253" t="s">
        <v>148</v>
      </c>
      <c r="E22" s="180" t="s">
        <v>135</v>
      </c>
      <c r="F22" s="254"/>
      <c r="G22" s="241">
        <v>0.85</v>
      </c>
      <c r="H22" s="261" t="s">
        <v>108</v>
      </c>
      <c r="I22" s="261" t="s">
        <v>109</v>
      </c>
      <c r="J22" s="261" t="s">
        <v>139</v>
      </c>
      <c r="K22" s="262">
        <v>1</v>
      </c>
      <c r="M22" s="244">
        <v>2</v>
      </c>
      <c r="N22" s="216">
        <v>40</v>
      </c>
      <c r="O22" s="217">
        <v>37.5</v>
      </c>
      <c r="P22" s="217">
        <v>25</v>
      </c>
      <c r="Q22" s="217">
        <v>40</v>
      </c>
      <c r="R22" s="217">
        <v>43.75</v>
      </c>
      <c r="S22" s="217">
        <v>37.5</v>
      </c>
      <c r="T22" s="217">
        <v>35</v>
      </c>
      <c r="U22" s="217">
        <v>25</v>
      </c>
      <c r="V22" s="217">
        <v>0</v>
      </c>
      <c r="W22" s="217">
        <v>0</v>
      </c>
      <c r="X22" s="217">
        <v>0</v>
      </c>
      <c r="Y22" s="217">
        <v>0</v>
      </c>
      <c r="Z22" s="217">
        <v>0</v>
      </c>
      <c r="AA22" s="217">
        <v>0</v>
      </c>
      <c r="AB22" s="159"/>
      <c r="AC22" s="245">
        <v>0.44701213818860802</v>
      </c>
      <c r="AD22" s="245">
        <v>0.41506185807656498</v>
      </c>
      <c r="AE22" s="245">
        <v>0.25093370681605998</v>
      </c>
      <c r="AF22" s="245">
        <v>0.44934640522875802</v>
      </c>
      <c r="AG22" s="245">
        <v>0.48800770308123248</v>
      </c>
      <c r="AH22" s="245">
        <v>0.38369514472455751</v>
      </c>
      <c r="AI22" s="245">
        <v>0.39098972922502401</v>
      </c>
      <c r="AJ22" s="245">
        <v>0.287406629318395</v>
      </c>
      <c r="AK22" s="245">
        <v>0</v>
      </c>
      <c r="AL22" s="245">
        <v>0</v>
      </c>
      <c r="AM22" s="245">
        <v>0</v>
      </c>
      <c r="AN22" s="245">
        <v>0</v>
      </c>
      <c r="AO22" s="245">
        <v>0</v>
      </c>
      <c r="AP22" s="245">
        <v>0</v>
      </c>
      <c r="AQ22" s="159"/>
      <c r="AR22" s="245">
        <v>0.44876283846872</v>
      </c>
      <c r="AS22" s="245">
        <v>0.32387955182072747</v>
      </c>
      <c r="AT22" s="245">
        <v>0.47852474323062499</v>
      </c>
      <c r="AU22" s="245">
        <v>0.70786647992530405</v>
      </c>
      <c r="AV22" s="245">
        <v>0.47852474323062499</v>
      </c>
      <c r="AW22" s="245">
        <v>0.38661297852474252</v>
      </c>
      <c r="AX22" s="245">
        <v>0.54096638655462193</v>
      </c>
      <c r="AY22" s="245">
        <v>0.25822829131652753</v>
      </c>
      <c r="AZ22" s="245">
        <v>0</v>
      </c>
      <c r="BA22" s="245">
        <v>0</v>
      </c>
      <c r="BB22" s="245">
        <v>0</v>
      </c>
      <c r="BC22" s="245">
        <v>0</v>
      </c>
      <c r="BD22" s="245">
        <v>0</v>
      </c>
      <c r="BE22" s="245">
        <v>0</v>
      </c>
      <c r="BF22" s="153"/>
      <c r="BG22" s="246">
        <v>0.22350606909430401</v>
      </c>
      <c r="BH22" s="247">
        <v>0.20753092903828249</v>
      </c>
      <c r="BI22" s="247">
        <v>0.12546685340802999</v>
      </c>
      <c r="BJ22" s="247">
        <v>0.22467320261437901</v>
      </c>
      <c r="BK22" s="247">
        <v>0.2440038515406163</v>
      </c>
      <c r="BL22" s="247">
        <v>0.19184757236227881</v>
      </c>
      <c r="BM22" s="247">
        <v>0.195494864612512</v>
      </c>
      <c r="BN22" s="247">
        <v>0.18506688711859359</v>
      </c>
      <c r="BO22" s="247">
        <v>0.19184757236227881</v>
      </c>
      <c r="BP22" s="247">
        <v>0.195494864612512</v>
      </c>
      <c r="BQ22" s="247">
        <v>0.18506688711859359</v>
      </c>
      <c r="BR22" s="247">
        <v>0</v>
      </c>
      <c r="BS22" s="247">
        <v>0</v>
      </c>
      <c r="BT22" s="247">
        <v>0</v>
      </c>
      <c r="BU22" s="169"/>
      <c r="BV22" s="263">
        <v>2</v>
      </c>
      <c r="BW22" s="264">
        <v>2</v>
      </c>
      <c r="BX22" s="266">
        <v>2</v>
      </c>
      <c r="BY22" s="266">
        <v>2</v>
      </c>
      <c r="BZ22" s="266">
        <v>2</v>
      </c>
      <c r="CA22" s="266">
        <v>2</v>
      </c>
      <c r="CB22" s="266">
        <v>2</v>
      </c>
      <c r="CC22" s="266">
        <v>2</v>
      </c>
      <c r="CD22" s="266">
        <v>2</v>
      </c>
      <c r="CE22" s="266">
        <v>2</v>
      </c>
      <c r="CF22" s="266">
        <v>2</v>
      </c>
      <c r="CG22" s="266">
        <v>2</v>
      </c>
      <c r="CH22" s="266">
        <v>2</v>
      </c>
      <c r="CI22" s="248">
        <v>2</v>
      </c>
      <c r="CJ22" s="249">
        <v>1.5529878618113919</v>
      </c>
      <c r="CK22" s="250">
        <v>1.584938141923435</v>
      </c>
      <c r="CL22" s="250">
        <v>1.74906629318394</v>
      </c>
      <c r="CM22" s="250">
        <v>1.5506535947712421</v>
      </c>
      <c r="CN22" s="250">
        <v>1.511992296918768</v>
      </c>
      <c r="CO22" s="250">
        <v>1.616304855275442</v>
      </c>
      <c r="CP22" s="250">
        <v>1.609010270774976</v>
      </c>
      <c r="CQ22" s="250">
        <v>1.712593370681605</v>
      </c>
      <c r="CR22" s="250">
        <v>2</v>
      </c>
      <c r="CS22" s="250">
        <v>2</v>
      </c>
      <c r="CT22" s="250">
        <v>2</v>
      </c>
      <c r="CU22" s="250">
        <v>2</v>
      </c>
      <c r="CV22" s="250">
        <v>2</v>
      </c>
      <c r="CW22" s="250">
        <v>2</v>
      </c>
      <c r="CX22" s="249">
        <v>1.596421902094171</v>
      </c>
      <c r="CY22" s="251">
        <v>1.74906629318394</v>
      </c>
      <c r="CZ22" s="127"/>
      <c r="DA22" s="187">
        <v>0.20178904895291461</v>
      </c>
      <c r="DB22" s="127" t="s">
        <v>149</v>
      </c>
    </row>
    <row r="23" spans="1:107" x14ac:dyDescent="0.35">
      <c r="A23" s="62" t="s">
        <v>147</v>
      </c>
      <c r="B23" s="46" t="s">
        <v>106</v>
      </c>
      <c r="C23" s="345"/>
      <c r="D23" s="253" t="s">
        <v>150</v>
      </c>
      <c r="E23" s="180" t="s">
        <v>135</v>
      </c>
      <c r="F23" s="254" t="s">
        <v>151</v>
      </c>
      <c r="G23" s="241">
        <v>0.85</v>
      </c>
      <c r="H23" s="261" t="s">
        <v>108</v>
      </c>
      <c r="I23" s="261" t="s">
        <v>109</v>
      </c>
      <c r="J23" s="261" t="s">
        <v>139</v>
      </c>
      <c r="K23" s="262">
        <v>10</v>
      </c>
      <c r="M23" s="244">
        <v>10</v>
      </c>
      <c r="N23" s="216">
        <v>965</v>
      </c>
      <c r="O23" s="217">
        <v>1018.75</v>
      </c>
      <c r="P23" s="217">
        <v>1025</v>
      </c>
      <c r="Q23" s="217">
        <v>885</v>
      </c>
      <c r="R23" s="217">
        <v>818.75</v>
      </c>
      <c r="S23" s="217">
        <v>1006.25</v>
      </c>
      <c r="T23" s="217">
        <v>935</v>
      </c>
      <c r="U23" s="217">
        <v>418.75</v>
      </c>
      <c r="V23" s="217">
        <v>0</v>
      </c>
      <c r="W23" s="217">
        <v>0</v>
      </c>
      <c r="X23" s="217">
        <v>0</v>
      </c>
      <c r="Y23" s="217">
        <v>0</v>
      </c>
      <c r="Z23" s="217">
        <v>0</v>
      </c>
      <c r="AA23" s="217">
        <v>0</v>
      </c>
      <c r="AB23" s="159"/>
      <c r="AC23" s="245">
        <v>9.0437286025521395</v>
      </c>
      <c r="AD23" s="245">
        <v>8.8584461562402748</v>
      </c>
      <c r="AE23" s="245">
        <v>8.989748677248679</v>
      </c>
      <c r="AF23" s="245">
        <v>8.2094615624027423</v>
      </c>
      <c r="AG23" s="245">
        <v>7.8573373793962036</v>
      </c>
      <c r="AH23" s="245">
        <v>9.9968390133831431</v>
      </c>
      <c r="AI23" s="245">
        <v>8.7595315904139373</v>
      </c>
      <c r="AJ23" s="245">
        <v>3.3870701058201118</v>
      </c>
      <c r="AK23" s="245">
        <v>0</v>
      </c>
      <c r="AL23" s="245">
        <v>0</v>
      </c>
      <c r="AM23" s="245">
        <v>0</v>
      </c>
      <c r="AN23" s="245">
        <v>0</v>
      </c>
      <c r="AO23" s="245">
        <v>0</v>
      </c>
      <c r="AP23" s="245">
        <v>0</v>
      </c>
      <c r="AQ23" s="159"/>
      <c r="AR23" s="245">
        <v>8.7804621848739401</v>
      </c>
      <c r="AS23" s="245">
        <v>7.8620059134764997</v>
      </c>
      <c r="AT23" s="245">
        <v>8.804417600373478</v>
      </c>
      <c r="AU23" s="245">
        <v>9.6558123249299825</v>
      </c>
      <c r="AV23" s="245">
        <v>9.3943549642079027</v>
      </c>
      <c r="AW23" s="245">
        <v>10.59674564270151</v>
      </c>
      <c r="AX23" s="245">
        <v>8.5946156240273872</v>
      </c>
      <c r="AY23" s="245">
        <v>3.2015931372549038</v>
      </c>
      <c r="AZ23" s="245">
        <v>0</v>
      </c>
      <c r="BA23" s="245">
        <v>0</v>
      </c>
      <c r="BB23" s="245">
        <v>0</v>
      </c>
      <c r="BC23" s="245">
        <v>0</v>
      </c>
      <c r="BD23" s="245">
        <v>0</v>
      </c>
      <c r="BE23" s="245">
        <v>0</v>
      </c>
      <c r="BF23" s="153"/>
      <c r="BG23" s="246">
        <v>0.90437286025521391</v>
      </c>
      <c r="BH23" s="247">
        <v>0.8858446156240275</v>
      </c>
      <c r="BI23" s="247">
        <v>0.8989748677248679</v>
      </c>
      <c r="BJ23" s="247">
        <v>0.82094615624027423</v>
      </c>
      <c r="BK23" s="247">
        <v>0.78573373793962042</v>
      </c>
      <c r="BL23" s="247">
        <v>0.99968390133831431</v>
      </c>
      <c r="BM23" s="247">
        <v>0.8759531590413937</v>
      </c>
      <c r="BN23" s="247">
        <v>3.5419548413344528</v>
      </c>
      <c r="BO23" s="247">
        <v>0.99968390133831431</v>
      </c>
      <c r="BP23" s="247">
        <v>0.8759531590413937</v>
      </c>
      <c r="BQ23" s="247">
        <v>3.5419548413344528</v>
      </c>
      <c r="BR23" s="247">
        <v>0</v>
      </c>
      <c r="BS23" s="247">
        <v>0</v>
      </c>
      <c r="BT23" s="247">
        <v>0</v>
      </c>
      <c r="BU23" s="169"/>
      <c r="BV23" s="263">
        <v>10</v>
      </c>
      <c r="BW23" s="264">
        <v>10</v>
      </c>
      <c r="BX23" s="265">
        <v>10</v>
      </c>
      <c r="BY23" s="266">
        <v>10</v>
      </c>
      <c r="BZ23" s="266">
        <v>10</v>
      </c>
      <c r="CA23" s="266">
        <v>10</v>
      </c>
      <c r="CB23" s="266">
        <v>10</v>
      </c>
      <c r="CC23" s="266">
        <v>10</v>
      </c>
      <c r="CD23" s="266">
        <v>10</v>
      </c>
      <c r="CE23" s="266">
        <v>10</v>
      </c>
      <c r="CF23" s="266">
        <v>10</v>
      </c>
      <c r="CG23" s="266">
        <v>10</v>
      </c>
      <c r="CH23" s="266">
        <v>10</v>
      </c>
      <c r="CI23" s="248">
        <v>10</v>
      </c>
      <c r="CJ23" s="249">
        <v>0.95627139744786049</v>
      </c>
      <c r="CK23" s="257">
        <v>1.141553843759725</v>
      </c>
      <c r="CL23" s="250">
        <v>1.010251322751321</v>
      </c>
      <c r="CM23" s="250">
        <v>1.7905384375972579</v>
      </c>
      <c r="CN23" s="250">
        <v>2.142662620603796</v>
      </c>
      <c r="CO23" s="250">
        <v>3.1609866168569312E-3</v>
      </c>
      <c r="CP23" s="250">
        <v>1.240468409586063</v>
      </c>
      <c r="CQ23" s="250">
        <v>6.6129298941798877</v>
      </c>
      <c r="CR23" s="250">
        <v>10</v>
      </c>
      <c r="CS23" s="250">
        <v>10</v>
      </c>
      <c r="CT23" s="250">
        <v>10</v>
      </c>
      <c r="CU23" s="250">
        <v>10</v>
      </c>
      <c r="CV23" s="250">
        <v>10</v>
      </c>
      <c r="CW23" s="250">
        <v>10</v>
      </c>
      <c r="CX23" s="249">
        <v>1.1835581454804109</v>
      </c>
      <c r="CY23" s="251">
        <v>2.142662620603796</v>
      </c>
      <c r="CZ23" s="127"/>
      <c r="DA23" s="187">
        <v>0.88164418545195888</v>
      </c>
      <c r="DB23" s="127" t="s">
        <v>152</v>
      </c>
    </row>
    <row r="24" spans="1:107" x14ac:dyDescent="0.35">
      <c r="A24" s="62" t="s">
        <v>153</v>
      </c>
      <c r="B24" s="46" t="s">
        <v>106</v>
      </c>
      <c r="C24" s="345"/>
      <c r="D24" s="253" t="s">
        <v>154</v>
      </c>
      <c r="E24" s="180" t="s">
        <v>155</v>
      </c>
      <c r="F24" s="260"/>
      <c r="G24" s="241">
        <v>0.85</v>
      </c>
      <c r="H24" s="60" t="s">
        <v>108</v>
      </c>
      <c r="I24" s="60" t="s">
        <v>109</v>
      </c>
      <c r="J24" s="60" t="s">
        <v>139</v>
      </c>
      <c r="K24" s="81">
        <v>8</v>
      </c>
      <c r="M24" s="80">
        <v>3</v>
      </c>
      <c r="N24" s="216">
        <v>38.200000000000003</v>
      </c>
      <c r="O24" s="217">
        <v>64.25</v>
      </c>
      <c r="P24" s="217">
        <v>49.25</v>
      </c>
      <c r="Q24" s="217">
        <v>39.4</v>
      </c>
      <c r="R24" s="217">
        <v>43</v>
      </c>
      <c r="S24" s="217">
        <v>27.5</v>
      </c>
      <c r="T24" s="217">
        <v>22.4</v>
      </c>
      <c r="U24" s="217">
        <v>28.5</v>
      </c>
      <c r="V24" s="217">
        <v>40.25</v>
      </c>
      <c r="W24" s="217">
        <v>32.4</v>
      </c>
      <c r="X24" s="217">
        <v>23.5</v>
      </c>
      <c r="Y24" s="217">
        <v>32.5</v>
      </c>
      <c r="Z24" s="217">
        <v>35.4</v>
      </c>
      <c r="AA24" s="217">
        <v>27.5</v>
      </c>
      <c r="AB24" s="159"/>
      <c r="AC24" s="245">
        <v>0.53104575163398604</v>
      </c>
      <c r="AD24" s="245">
        <v>0.89857609710551001</v>
      </c>
      <c r="AE24" s="245">
        <v>0.67577030812325001</v>
      </c>
      <c r="AF24" s="245">
        <v>0.57387955182072803</v>
      </c>
      <c r="AG24" s="245">
        <v>1.4545985060690949</v>
      </c>
      <c r="AH24" s="245">
        <v>0.39813842203548</v>
      </c>
      <c r="AI24" s="245">
        <v>0.34372082166199802</v>
      </c>
      <c r="AJ24" s="245">
        <v>0.43545751633987001</v>
      </c>
      <c r="AK24" s="245">
        <v>1.437208216619982</v>
      </c>
      <c r="AL24" s="245">
        <v>0.59208683473389401</v>
      </c>
      <c r="AM24" s="245">
        <v>0.60399159663865498</v>
      </c>
      <c r="AN24" s="245">
        <v>0.71743697478991497</v>
      </c>
      <c r="AO24" s="245">
        <v>1.4683706816059761</v>
      </c>
      <c r="AP24" s="245">
        <v>0.77019140989729251</v>
      </c>
      <c r="AQ24" s="159"/>
      <c r="AR24" s="245">
        <v>0.53104575163398604</v>
      </c>
      <c r="AS24" s="245">
        <v>0.89857609710551001</v>
      </c>
      <c r="AT24" s="245">
        <v>0.67577030812325001</v>
      </c>
      <c r="AU24" s="245">
        <v>0.57387955182072803</v>
      </c>
      <c r="AV24" s="245">
        <v>1.4545985060690949</v>
      </c>
      <c r="AW24" s="245">
        <v>0.39813842203548</v>
      </c>
      <c r="AX24" s="245">
        <v>0.34372082166199802</v>
      </c>
      <c r="AY24" s="245">
        <v>0.43545751633987001</v>
      </c>
      <c r="AZ24" s="245">
        <v>1.437208216619982</v>
      </c>
      <c r="BA24" s="245">
        <v>0.59208683473389401</v>
      </c>
      <c r="BB24" s="245">
        <v>0.60399159663865498</v>
      </c>
      <c r="BC24" s="245">
        <v>0.71743697478991497</v>
      </c>
      <c r="BD24" s="245">
        <v>1.4683706816059761</v>
      </c>
      <c r="BE24" s="245">
        <v>0.77019140989729251</v>
      </c>
      <c r="BF24" s="153"/>
      <c r="BG24" s="246">
        <v>0.177015250544662</v>
      </c>
      <c r="BH24" s="247">
        <v>0.29952536570183669</v>
      </c>
      <c r="BI24" s="247">
        <v>0.22525676937441669</v>
      </c>
      <c r="BJ24" s="247">
        <v>0.19129318394024269</v>
      </c>
      <c r="BK24" s="247">
        <v>0.48486616868969828</v>
      </c>
      <c r="BL24" s="247">
        <v>0.13271280734516</v>
      </c>
      <c r="BM24" s="247">
        <v>0.11457360722066599</v>
      </c>
      <c r="BN24" s="247">
        <v>0.17637326273990761</v>
      </c>
      <c r="BO24" s="247">
        <v>0.13271280734516</v>
      </c>
      <c r="BP24" s="247">
        <v>0.11457360722066599</v>
      </c>
      <c r="BQ24" s="247">
        <v>0.17637326273990761</v>
      </c>
      <c r="BR24" s="247">
        <v>0.68392113301860691</v>
      </c>
      <c r="BS24" s="247">
        <v>0.25474540524254319</v>
      </c>
      <c r="BT24" s="247">
        <v>0.24895367296868209</v>
      </c>
      <c r="BU24" s="169"/>
      <c r="BV24" s="263">
        <v>3</v>
      </c>
      <c r="BW24" s="264">
        <v>3</v>
      </c>
      <c r="BX24" s="265">
        <v>3</v>
      </c>
      <c r="BY24" s="265">
        <v>3</v>
      </c>
      <c r="BZ24" s="52">
        <v>3</v>
      </c>
      <c r="CA24" s="52">
        <v>3</v>
      </c>
      <c r="CB24" s="52">
        <v>3</v>
      </c>
      <c r="CC24" s="52">
        <v>3</v>
      </c>
      <c r="CD24" s="52">
        <v>3</v>
      </c>
      <c r="CE24" s="52">
        <v>3</v>
      </c>
      <c r="CF24" s="52">
        <v>3</v>
      </c>
      <c r="CG24" s="52">
        <v>3</v>
      </c>
      <c r="CH24" s="52">
        <v>3</v>
      </c>
      <c r="CI24" s="248">
        <v>3</v>
      </c>
      <c r="CJ24" s="249">
        <v>2.4689542483660141</v>
      </c>
      <c r="CK24" s="250">
        <v>2.1014239028944899</v>
      </c>
      <c r="CL24" s="250">
        <v>2.32422969187675</v>
      </c>
      <c r="CM24" s="250">
        <v>2.426120448179272</v>
      </c>
      <c r="CN24" s="250">
        <v>1.5454014939309051</v>
      </c>
      <c r="CO24" s="250">
        <v>2.6018615779645198</v>
      </c>
      <c r="CP24" s="250">
        <v>2.6562791783380022</v>
      </c>
      <c r="CQ24" s="250">
        <v>2.56454248366013</v>
      </c>
      <c r="CR24" s="250">
        <v>1.562791783380018</v>
      </c>
      <c r="CS24" s="250">
        <v>2.4079131652661059</v>
      </c>
      <c r="CT24" s="250">
        <v>2.3960084033613449</v>
      </c>
      <c r="CU24" s="250">
        <v>2.2825630252100848</v>
      </c>
      <c r="CV24" s="250">
        <v>1.5316293183940239</v>
      </c>
      <c r="CW24" s="250">
        <v>2.2298085901027069</v>
      </c>
      <c r="CX24" s="249">
        <v>2.3034672202214219</v>
      </c>
      <c r="CY24" s="251">
        <v>2.6562791783380022</v>
      </c>
      <c r="CZ24" s="127"/>
      <c r="DA24" s="187">
        <v>0.232177593259526</v>
      </c>
      <c r="DB24" s="127" t="s">
        <v>156</v>
      </c>
    </row>
    <row r="25" spans="1:107" x14ac:dyDescent="0.35">
      <c r="A25" s="62" t="s">
        <v>64</v>
      </c>
      <c r="B25" s="46" t="s">
        <v>106</v>
      </c>
      <c r="C25" s="345"/>
      <c r="D25" s="253" t="s">
        <v>43</v>
      </c>
      <c r="E25" s="180" t="s">
        <v>44</v>
      </c>
      <c r="F25" s="260"/>
      <c r="G25" s="241">
        <v>0.85</v>
      </c>
      <c r="H25" s="261" t="s">
        <v>114</v>
      </c>
      <c r="I25" s="261" t="s">
        <v>157</v>
      </c>
      <c r="J25" s="261" t="s">
        <v>116</v>
      </c>
      <c r="K25" s="262">
        <v>1</v>
      </c>
      <c r="M25" s="244">
        <v>2</v>
      </c>
      <c r="N25" s="216">
        <v>28</v>
      </c>
      <c r="O25" s="217">
        <v>43.25</v>
      </c>
      <c r="P25" s="217">
        <v>43.75</v>
      </c>
      <c r="Q25" s="217">
        <v>75</v>
      </c>
      <c r="R25" s="217">
        <v>149.75</v>
      </c>
      <c r="S25" s="217">
        <v>175</v>
      </c>
      <c r="T25" s="217">
        <v>122</v>
      </c>
      <c r="U25" s="217">
        <v>0</v>
      </c>
      <c r="V25" s="217">
        <v>0</v>
      </c>
      <c r="W25" s="217">
        <v>0</v>
      </c>
      <c r="X25" s="217">
        <v>0</v>
      </c>
      <c r="Y25" s="217">
        <v>0</v>
      </c>
      <c r="Z25" s="217">
        <v>0</v>
      </c>
      <c r="AA25" s="217">
        <v>0</v>
      </c>
      <c r="AB25" s="159"/>
      <c r="AC25" s="245">
        <v>0.62635387488328598</v>
      </c>
      <c r="AD25" s="245">
        <v>1.159401260504203</v>
      </c>
      <c r="AE25" s="245">
        <v>1.2320553221288519</v>
      </c>
      <c r="AF25" s="245">
        <v>2.02103758169934</v>
      </c>
      <c r="AG25" s="245">
        <v>2.9828066643323998</v>
      </c>
      <c r="AH25" s="245">
        <v>4.1384609399315249</v>
      </c>
      <c r="AI25" s="245">
        <v>3.4377237005913401</v>
      </c>
      <c r="AJ25" s="245">
        <v>0</v>
      </c>
      <c r="AK25" s="245">
        <v>0</v>
      </c>
      <c r="AL25" s="245">
        <v>0</v>
      </c>
      <c r="AM25" s="245">
        <v>0</v>
      </c>
      <c r="AN25" s="245">
        <v>0</v>
      </c>
      <c r="AO25" s="245">
        <v>0</v>
      </c>
      <c r="AP25" s="245">
        <v>0</v>
      </c>
      <c r="AQ25" s="159"/>
      <c r="AR25" s="245">
        <v>0.14063958916900099</v>
      </c>
      <c r="AS25" s="245">
        <v>1.2320553221288519</v>
      </c>
      <c r="AT25" s="245">
        <v>1.2123599439775901</v>
      </c>
      <c r="AU25" s="245">
        <v>1.1801178804855279</v>
      </c>
      <c r="AV25" s="245">
        <v>1.690702322595705</v>
      </c>
      <c r="AW25" s="245">
        <v>3.0763694366635499</v>
      </c>
      <c r="AX25" s="245">
        <v>3.1454734671646398</v>
      </c>
      <c r="AY25" s="245">
        <v>0</v>
      </c>
      <c r="AZ25" s="245">
        <v>0</v>
      </c>
      <c r="BA25" s="245">
        <v>0</v>
      </c>
      <c r="BB25" s="245">
        <v>0</v>
      </c>
      <c r="BC25" s="245">
        <v>0</v>
      </c>
      <c r="BD25" s="245">
        <v>0</v>
      </c>
      <c r="BE25" s="245">
        <v>0</v>
      </c>
      <c r="BF25" s="153"/>
      <c r="BG25" s="246">
        <v>0.31317693744164299</v>
      </c>
      <c r="BH25" s="247">
        <v>0.57970063025210128</v>
      </c>
      <c r="BI25" s="247">
        <v>0.61602766106442619</v>
      </c>
      <c r="BJ25" s="247">
        <v>1.01051879084967</v>
      </c>
      <c r="BK25" s="247">
        <v>1.4914033321661999</v>
      </c>
      <c r="BL25" s="247">
        <v>2.069230469965762</v>
      </c>
      <c r="BM25" s="247">
        <v>1.7188618502956701</v>
      </c>
      <c r="BN25" s="247">
        <v>0</v>
      </c>
      <c r="BO25" s="247">
        <v>2.069230469965762</v>
      </c>
      <c r="BP25" s="247">
        <v>1.7188618502956701</v>
      </c>
      <c r="BQ25" s="247">
        <v>0</v>
      </c>
      <c r="BR25" s="247">
        <v>0</v>
      </c>
      <c r="BS25" s="247">
        <v>0</v>
      </c>
      <c r="BT25" s="247">
        <v>0</v>
      </c>
      <c r="BU25" s="169"/>
      <c r="BV25" s="263">
        <v>2</v>
      </c>
      <c r="BW25" s="264">
        <v>2</v>
      </c>
      <c r="BX25" s="265">
        <v>2</v>
      </c>
      <c r="BY25" s="265">
        <v>2</v>
      </c>
      <c r="BZ25" s="266">
        <v>2</v>
      </c>
      <c r="CA25" s="266">
        <v>2</v>
      </c>
      <c r="CB25" s="266">
        <v>2</v>
      </c>
      <c r="CC25" s="266">
        <v>2</v>
      </c>
      <c r="CD25" s="266">
        <v>2</v>
      </c>
      <c r="CE25" s="266">
        <v>2</v>
      </c>
      <c r="CF25" s="266">
        <v>2</v>
      </c>
      <c r="CG25" s="266">
        <v>2</v>
      </c>
      <c r="CH25" s="266">
        <v>2</v>
      </c>
      <c r="CI25" s="248">
        <v>2</v>
      </c>
      <c r="CJ25" s="249">
        <v>1.373646125116714</v>
      </c>
      <c r="CK25" s="250">
        <v>0.84059873949579744</v>
      </c>
      <c r="CL25" s="250">
        <v>0.76794467787114762</v>
      </c>
      <c r="CM25" s="250">
        <v>-2.1037581699339999E-2</v>
      </c>
      <c r="CN25" s="250">
        <v>-0.98280666433239983</v>
      </c>
      <c r="CO25" s="250">
        <v>-2.1384609399315249</v>
      </c>
      <c r="CP25" s="250">
        <v>-1.4377237005913399</v>
      </c>
      <c r="CQ25" s="250">
        <v>2</v>
      </c>
      <c r="CR25" s="250">
        <v>2</v>
      </c>
      <c r="CS25" s="250">
        <v>2</v>
      </c>
      <c r="CT25" s="250">
        <v>2</v>
      </c>
      <c r="CU25" s="250">
        <v>2</v>
      </c>
      <c r="CV25" s="250">
        <v>2</v>
      </c>
      <c r="CW25" s="250">
        <v>2</v>
      </c>
      <c r="CX25" s="249">
        <v>-0.22826276343870661</v>
      </c>
      <c r="CY25" s="251">
        <v>1.373646125116714</v>
      </c>
      <c r="CZ25" s="127"/>
      <c r="DA25" s="187">
        <v>1.114131381719353</v>
      </c>
      <c r="DB25" s="127" t="s">
        <v>158</v>
      </c>
    </row>
    <row r="26" spans="1:107" x14ac:dyDescent="0.35">
      <c r="A26" s="62" t="s">
        <v>147</v>
      </c>
      <c r="B26" s="46" t="s">
        <v>106</v>
      </c>
      <c r="C26" s="345"/>
      <c r="D26" s="253" t="s">
        <v>45</v>
      </c>
      <c r="E26" s="180" t="s">
        <v>135</v>
      </c>
      <c r="F26" s="260"/>
      <c r="G26" s="241">
        <v>0.85</v>
      </c>
      <c r="H26" s="261"/>
      <c r="I26" s="261"/>
      <c r="J26" s="261"/>
      <c r="K26" s="262">
        <v>1</v>
      </c>
      <c r="M26" s="80">
        <v>3</v>
      </c>
      <c r="N26" s="216">
        <v>133.19999999999999</v>
      </c>
      <c r="O26" s="217">
        <v>302.25</v>
      </c>
      <c r="P26" s="217">
        <v>303</v>
      </c>
      <c r="Q26" s="217">
        <v>313</v>
      </c>
      <c r="R26" s="217">
        <v>265.5</v>
      </c>
      <c r="S26" s="217">
        <v>249.75</v>
      </c>
      <c r="T26" s="217">
        <v>273</v>
      </c>
      <c r="U26" s="217">
        <v>134.25</v>
      </c>
      <c r="V26" s="217">
        <v>3</v>
      </c>
      <c r="W26" s="217">
        <v>5</v>
      </c>
      <c r="X26" s="217">
        <v>6</v>
      </c>
      <c r="Y26" s="217">
        <v>6</v>
      </c>
      <c r="Z26" s="217">
        <v>5</v>
      </c>
      <c r="AA26" s="217">
        <v>12</v>
      </c>
      <c r="AB26" s="159"/>
      <c r="AC26" s="245">
        <v>2.1366925757169661</v>
      </c>
      <c r="AD26" s="245">
        <v>2.95597694987939</v>
      </c>
      <c r="AE26" s="245">
        <v>3.2444384883409301</v>
      </c>
      <c r="AF26" s="245">
        <v>3.4399333529534362</v>
      </c>
      <c r="AG26" s="245">
        <v>3.092960214104405</v>
      </c>
      <c r="AH26" s="245">
        <v>4.5330031637420447</v>
      </c>
      <c r="AI26" s="245">
        <v>3.8401747503253958</v>
      </c>
      <c r="AJ26" s="245">
        <v>2.39050951837896</v>
      </c>
      <c r="AK26" s="245">
        <v>1.1538461538461551</v>
      </c>
      <c r="AL26" s="245">
        <v>1.923076923076924</v>
      </c>
      <c r="AM26" s="245">
        <v>2.307692307692307</v>
      </c>
      <c r="AN26" s="245">
        <v>2.307692307692307</v>
      </c>
      <c r="AO26" s="245">
        <v>1.923076923076924</v>
      </c>
      <c r="AP26" s="245">
        <v>4.6153846153846247</v>
      </c>
      <c r="AQ26" s="159"/>
      <c r="AR26" s="245">
        <v>1.5909943714821759</v>
      </c>
      <c r="AS26" s="245">
        <v>2.7365317609220048</v>
      </c>
      <c r="AT26" s="245">
        <v>2.6149155722326451</v>
      </c>
      <c r="AU26" s="245">
        <v>2.753953363709464</v>
      </c>
      <c r="AV26" s="245">
        <v>2.59177627429959</v>
      </c>
      <c r="AW26" s="245">
        <v>2.838279855406828</v>
      </c>
      <c r="AX26" s="245">
        <v>2.8490727748260021</v>
      </c>
      <c r="AY26" s="245">
        <v>1.7852621035906551</v>
      </c>
      <c r="AZ26" s="245">
        <v>0.76923076923077005</v>
      </c>
      <c r="BA26" s="245">
        <v>0.76923076923077005</v>
      </c>
      <c r="BB26" s="245">
        <v>0.76923076923077005</v>
      </c>
      <c r="BC26" s="245">
        <v>0.76923076923077005</v>
      </c>
      <c r="BD26" s="245">
        <v>0.76923076923077005</v>
      </c>
      <c r="BE26" s="245">
        <v>0.76923076923077005</v>
      </c>
      <c r="BF26" s="153"/>
      <c r="BG26" s="246">
        <v>0.71223085857232205</v>
      </c>
      <c r="BH26" s="247">
        <v>0.98532564995979666</v>
      </c>
      <c r="BI26" s="247">
        <v>1.0814794961136429</v>
      </c>
      <c r="BJ26" s="247">
        <v>1.1466444509844791</v>
      </c>
      <c r="BK26" s="247">
        <v>1.0309867380348019</v>
      </c>
      <c r="BL26" s="247">
        <v>1.511001054580682</v>
      </c>
      <c r="BM26" s="247">
        <v>1.280058250108465</v>
      </c>
      <c r="BN26" s="247">
        <v>2.7690130434870852</v>
      </c>
      <c r="BO26" s="247">
        <v>1.511001054580682</v>
      </c>
      <c r="BP26" s="247">
        <v>1.280058250108465</v>
      </c>
      <c r="BQ26" s="247">
        <v>2.7690130434870852</v>
      </c>
      <c r="BR26" s="247">
        <v>26.21004566210112</v>
      </c>
      <c r="BS26" s="247">
        <v>-7.867324561403426</v>
      </c>
      <c r="BT26" s="247">
        <v>-5.2455497911215669</v>
      </c>
      <c r="BU26" s="169"/>
      <c r="BV26" s="263">
        <v>3</v>
      </c>
      <c r="BW26" s="264">
        <v>3</v>
      </c>
      <c r="BX26" s="265">
        <v>3</v>
      </c>
      <c r="BY26" s="265">
        <v>3</v>
      </c>
      <c r="BZ26" s="266">
        <v>3</v>
      </c>
      <c r="CA26" s="266">
        <v>3</v>
      </c>
      <c r="CB26" s="266">
        <v>3</v>
      </c>
      <c r="CC26" s="266">
        <v>3</v>
      </c>
      <c r="CD26" s="266">
        <v>3</v>
      </c>
      <c r="CE26" s="266">
        <v>3</v>
      </c>
      <c r="CF26" s="266">
        <v>3</v>
      </c>
      <c r="CG26" s="266">
        <v>3</v>
      </c>
      <c r="CH26" s="266">
        <v>3</v>
      </c>
      <c r="CI26" s="248">
        <v>3</v>
      </c>
      <c r="CJ26" s="249">
        <v>0.86330742428303386</v>
      </c>
      <c r="CK26" s="250">
        <v>4.402305012061003E-2</v>
      </c>
      <c r="CL26" s="250">
        <v>-0.2444384883409301</v>
      </c>
      <c r="CM26" s="250">
        <v>-0.43993335295343622</v>
      </c>
      <c r="CN26" s="250">
        <v>-9.2960214104405026E-2</v>
      </c>
      <c r="CO26" s="250">
        <v>-1.5330031637420449</v>
      </c>
      <c r="CP26" s="250">
        <v>-0.84017475032539579</v>
      </c>
      <c r="CQ26" s="250">
        <v>0.60949048162104003</v>
      </c>
      <c r="CR26" s="250">
        <v>1.8461538461538449</v>
      </c>
      <c r="CS26" s="250">
        <v>1.076923076923076</v>
      </c>
      <c r="CT26" s="250">
        <v>0.69230769230769251</v>
      </c>
      <c r="CU26" s="250">
        <v>0.69230769230769251</v>
      </c>
      <c r="CV26" s="250">
        <v>1.076923076923076</v>
      </c>
      <c r="CW26" s="250">
        <v>-1.615384615384625</v>
      </c>
      <c r="CX26" s="249">
        <v>-0.32045421358036691</v>
      </c>
      <c r="CY26" s="251">
        <v>0.86330742428303386</v>
      </c>
      <c r="CZ26" s="127" t="s">
        <v>159</v>
      </c>
      <c r="DA26" s="187">
        <v>1.1068180711934561</v>
      </c>
      <c r="DB26" s="127" t="s">
        <v>160</v>
      </c>
    </row>
    <row r="27" spans="1:107" x14ac:dyDescent="0.35">
      <c r="A27" s="62" t="s">
        <v>161</v>
      </c>
      <c r="B27" s="46" t="s">
        <v>106</v>
      </c>
      <c r="C27" s="345"/>
      <c r="D27" s="253" t="s">
        <v>162</v>
      </c>
      <c r="E27" s="180" t="s">
        <v>163</v>
      </c>
      <c r="F27" s="260"/>
      <c r="G27" s="241">
        <v>0.85</v>
      </c>
      <c r="H27" s="60"/>
      <c r="I27" s="60"/>
      <c r="J27" s="60"/>
      <c r="K27" s="81">
        <v>1</v>
      </c>
      <c r="M27" s="80">
        <v>0</v>
      </c>
      <c r="N27" s="216">
        <v>0</v>
      </c>
      <c r="O27" s="217">
        <v>0</v>
      </c>
      <c r="P27" s="217">
        <v>0</v>
      </c>
      <c r="Q27" s="217">
        <v>0</v>
      </c>
      <c r="R27" s="217">
        <v>0</v>
      </c>
      <c r="S27" s="217">
        <v>0</v>
      </c>
      <c r="T27" s="217">
        <v>0</v>
      </c>
      <c r="U27" s="217">
        <v>0</v>
      </c>
      <c r="V27" s="217">
        <v>0</v>
      </c>
      <c r="W27" s="217">
        <v>0</v>
      </c>
      <c r="X27" s="217">
        <v>0</v>
      </c>
      <c r="Y27" s="217">
        <v>0</v>
      </c>
      <c r="Z27" s="217">
        <v>0</v>
      </c>
      <c r="AA27" s="217">
        <v>0</v>
      </c>
      <c r="AB27" s="159"/>
      <c r="AC27" s="245">
        <v>0</v>
      </c>
      <c r="AD27" s="245">
        <v>0</v>
      </c>
      <c r="AE27" s="245">
        <v>0</v>
      </c>
      <c r="AF27" s="245">
        <v>0</v>
      </c>
      <c r="AG27" s="245">
        <v>0</v>
      </c>
      <c r="AH27" s="245">
        <v>0</v>
      </c>
      <c r="AI27" s="245">
        <v>0</v>
      </c>
      <c r="AJ27" s="245">
        <v>0</v>
      </c>
      <c r="AK27" s="245">
        <v>0</v>
      </c>
      <c r="AL27" s="245">
        <v>0</v>
      </c>
      <c r="AM27" s="245">
        <v>0</v>
      </c>
      <c r="AN27" s="245">
        <v>0</v>
      </c>
      <c r="AO27" s="245">
        <v>0</v>
      </c>
      <c r="AP27" s="245">
        <v>0</v>
      </c>
      <c r="AQ27" s="159"/>
      <c r="AR27" s="245">
        <v>0</v>
      </c>
      <c r="AS27" s="245">
        <v>0</v>
      </c>
      <c r="AT27" s="245">
        <v>0</v>
      </c>
      <c r="AU27" s="245">
        <v>0</v>
      </c>
      <c r="AV27" s="245">
        <v>0</v>
      </c>
      <c r="AW27" s="245">
        <v>0</v>
      </c>
      <c r="AX27" s="245">
        <v>0</v>
      </c>
      <c r="AY27" s="245">
        <v>0</v>
      </c>
      <c r="AZ27" s="245">
        <v>0</v>
      </c>
      <c r="BA27" s="245">
        <v>0</v>
      </c>
      <c r="BB27" s="245">
        <v>0</v>
      </c>
      <c r="BC27" s="245">
        <v>0</v>
      </c>
      <c r="BD27" s="245">
        <v>0</v>
      </c>
      <c r="BE27" s="245">
        <v>0</v>
      </c>
      <c r="BF27" s="153"/>
      <c r="BG27" s="246">
        <v>0</v>
      </c>
      <c r="BH27" s="247">
        <v>0</v>
      </c>
      <c r="BI27" s="247">
        <v>0</v>
      </c>
      <c r="BJ27" s="247">
        <v>0</v>
      </c>
      <c r="BK27" s="247">
        <v>0</v>
      </c>
      <c r="BL27" s="247">
        <v>0</v>
      </c>
      <c r="BM27" s="247">
        <v>0</v>
      </c>
      <c r="BN27" s="247">
        <v>0</v>
      </c>
      <c r="BO27" s="247">
        <v>0</v>
      </c>
      <c r="BP27" s="247">
        <v>0</v>
      </c>
      <c r="BQ27" s="247">
        <v>0</v>
      </c>
      <c r="BR27" s="247">
        <v>0</v>
      </c>
      <c r="BS27" s="247">
        <v>0</v>
      </c>
      <c r="BT27" s="247">
        <v>0</v>
      </c>
      <c r="BU27" s="169"/>
      <c r="BV27" s="263">
        <v>0</v>
      </c>
      <c r="BW27" s="264">
        <v>0</v>
      </c>
      <c r="BX27" s="265">
        <v>0</v>
      </c>
      <c r="BY27" s="265">
        <v>0</v>
      </c>
      <c r="BZ27" s="266">
        <v>0</v>
      </c>
      <c r="CA27" s="266">
        <v>0</v>
      </c>
      <c r="CB27" s="266">
        <v>0</v>
      </c>
      <c r="CC27" s="266">
        <v>0</v>
      </c>
      <c r="CD27" s="266">
        <v>0</v>
      </c>
      <c r="CE27" s="266">
        <v>0</v>
      </c>
      <c r="CF27" s="266">
        <v>0</v>
      </c>
      <c r="CG27" s="266">
        <v>0</v>
      </c>
      <c r="CH27" s="266">
        <v>0</v>
      </c>
      <c r="CI27" s="248">
        <v>0</v>
      </c>
      <c r="CJ27" s="249">
        <v>0</v>
      </c>
      <c r="CK27" s="250">
        <v>0</v>
      </c>
      <c r="CL27" s="250">
        <v>0</v>
      </c>
      <c r="CM27" s="250">
        <v>0</v>
      </c>
      <c r="CN27" s="250">
        <v>0</v>
      </c>
      <c r="CO27" s="250">
        <v>0</v>
      </c>
      <c r="CP27" s="250">
        <v>0</v>
      </c>
      <c r="CQ27" s="250">
        <v>0</v>
      </c>
      <c r="CR27" s="250">
        <v>0</v>
      </c>
      <c r="CS27" s="250">
        <v>0</v>
      </c>
      <c r="CT27" s="250">
        <v>0</v>
      </c>
      <c r="CU27" s="250">
        <v>0</v>
      </c>
      <c r="CV27" s="250">
        <v>0</v>
      </c>
      <c r="CW27" s="250">
        <v>0</v>
      </c>
      <c r="CX27" s="249">
        <v>0</v>
      </c>
      <c r="CY27" s="251">
        <v>0</v>
      </c>
      <c r="CZ27" s="127"/>
      <c r="DA27" s="187" t="e">
        <v>#DIV/0!</v>
      </c>
      <c r="DB27" s="127" t="s">
        <v>164</v>
      </c>
    </row>
    <row r="28" spans="1:107" x14ac:dyDescent="0.35">
      <c r="A28" s="62" t="s">
        <v>165</v>
      </c>
      <c r="B28" s="46" t="s">
        <v>106</v>
      </c>
      <c r="C28" s="345"/>
      <c r="D28" s="253" t="s">
        <v>165</v>
      </c>
      <c r="E28" s="180" t="s">
        <v>166</v>
      </c>
      <c r="F28" s="260"/>
      <c r="G28" s="241"/>
      <c r="H28" s="60"/>
      <c r="I28" s="60"/>
      <c r="J28" s="60"/>
      <c r="K28" s="81"/>
      <c r="M28" s="80">
        <v>0</v>
      </c>
      <c r="N28" s="216">
        <v>0</v>
      </c>
      <c r="O28" s="217">
        <v>0</v>
      </c>
      <c r="P28" s="217">
        <v>0</v>
      </c>
      <c r="Q28" s="217">
        <v>0</v>
      </c>
      <c r="R28" s="217">
        <v>0</v>
      </c>
      <c r="S28" s="217">
        <v>0</v>
      </c>
      <c r="T28" s="217">
        <v>0</v>
      </c>
      <c r="U28" s="217">
        <v>0</v>
      </c>
      <c r="V28" s="217">
        <v>0</v>
      </c>
      <c r="W28" s="217">
        <v>0</v>
      </c>
      <c r="X28" s="217">
        <v>0</v>
      </c>
      <c r="Y28" s="217">
        <v>0</v>
      </c>
      <c r="Z28" s="217">
        <v>0</v>
      </c>
      <c r="AA28" s="217">
        <v>0</v>
      </c>
      <c r="AB28" s="159"/>
      <c r="AC28" s="245">
        <v>0</v>
      </c>
      <c r="AD28" s="245">
        <v>0</v>
      </c>
      <c r="AE28" s="245">
        <v>0</v>
      </c>
      <c r="AF28" s="245">
        <v>0</v>
      </c>
      <c r="AG28" s="245">
        <v>0</v>
      </c>
      <c r="AH28" s="245">
        <v>0</v>
      </c>
      <c r="AI28" s="245">
        <v>0</v>
      </c>
      <c r="AJ28" s="245">
        <v>0</v>
      </c>
      <c r="AK28" s="245">
        <v>0</v>
      </c>
      <c r="AL28" s="245">
        <v>0</v>
      </c>
      <c r="AM28" s="245">
        <v>0</v>
      </c>
      <c r="AN28" s="245">
        <v>0</v>
      </c>
      <c r="AO28" s="245">
        <v>0</v>
      </c>
      <c r="AP28" s="245">
        <v>0</v>
      </c>
      <c r="AQ28" s="159"/>
      <c r="AR28" s="245">
        <v>0</v>
      </c>
      <c r="AS28" s="245">
        <v>0</v>
      </c>
      <c r="AT28" s="245">
        <v>0</v>
      </c>
      <c r="AU28" s="245">
        <v>0</v>
      </c>
      <c r="AV28" s="245">
        <v>0</v>
      </c>
      <c r="AW28" s="245">
        <v>0</v>
      </c>
      <c r="AX28" s="245">
        <v>0</v>
      </c>
      <c r="AY28" s="245">
        <v>0</v>
      </c>
      <c r="AZ28" s="245">
        <v>0</v>
      </c>
      <c r="BA28" s="245">
        <v>0</v>
      </c>
      <c r="BB28" s="245">
        <v>0</v>
      </c>
      <c r="BC28" s="245">
        <v>0</v>
      </c>
      <c r="BD28" s="245">
        <v>0</v>
      </c>
      <c r="BE28" s="245">
        <v>0</v>
      </c>
      <c r="BF28" s="153"/>
      <c r="BG28" s="246">
        <v>0</v>
      </c>
      <c r="BH28" s="247">
        <v>0</v>
      </c>
      <c r="BI28" s="247">
        <v>0</v>
      </c>
      <c r="BJ28" s="247">
        <v>0</v>
      </c>
      <c r="BK28" s="247">
        <v>0</v>
      </c>
      <c r="BL28" s="247">
        <v>0</v>
      </c>
      <c r="BM28" s="247">
        <v>0</v>
      </c>
      <c r="BN28" s="247">
        <v>0</v>
      </c>
      <c r="BO28" s="247">
        <v>0</v>
      </c>
      <c r="BP28" s="247">
        <v>0</v>
      </c>
      <c r="BQ28" s="247">
        <v>0</v>
      </c>
      <c r="BR28" s="247">
        <v>0</v>
      </c>
      <c r="BS28" s="247">
        <v>0</v>
      </c>
      <c r="BT28" s="247">
        <v>0</v>
      </c>
      <c r="BU28" s="169"/>
      <c r="BV28" s="263">
        <v>0</v>
      </c>
      <c r="BW28" s="264">
        <v>0</v>
      </c>
      <c r="BX28" s="265">
        <v>0</v>
      </c>
      <c r="BY28" s="265">
        <v>0</v>
      </c>
      <c r="BZ28" s="266">
        <v>0</v>
      </c>
      <c r="CA28" s="266">
        <v>0</v>
      </c>
      <c r="CB28" s="266">
        <v>0</v>
      </c>
      <c r="CC28" s="266">
        <v>0</v>
      </c>
      <c r="CD28" s="266">
        <v>0</v>
      </c>
      <c r="CE28" s="266">
        <v>0</v>
      </c>
      <c r="CF28" s="266">
        <v>0</v>
      </c>
      <c r="CG28" s="266">
        <v>0</v>
      </c>
      <c r="CH28" s="266">
        <v>0</v>
      </c>
      <c r="CI28" s="248">
        <v>0</v>
      </c>
      <c r="CJ28" s="249">
        <v>0</v>
      </c>
      <c r="CK28" s="250">
        <v>0</v>
      </c>
      <c r="CL28" s="250">
        <v>0</v>
      </c>
      <c r="CM28" s="250">
        <v>0</v>
      </c>
      <c r="CN28" s="250">
        <v>0</v>
      </c>
      <c r="CO28" s="250">
        <v>0</v>
      </c>
      <c r="CP28" s="250">
        <v>0</v>
      </c>
      <c r="CQ28" s="250">
        <v>0</v>
      </c>
      <c r="CR28" s="250">
        <v>0</v>
      </c>
      <c r="CS28" s="250">
        <v>0</v>
      </c>
      <c r="CT28" s="250">
        <v>0</v>
      </c>
      <c r="CU28" s="250">
        <v>0</v>
      </c>
      <c r="CV28" s="250">
        <v>0</v>
      </c>
      <c r="CW28" s="250">
        <v>0</v>
      </c>
      <c r="CX28" s="249">
        <v>0</v>
      </c>
      <c r="CY28" s="251">
        <v>0</v>
      </c>
      <c r="CZ28" s="127"/>
      <c r="DA28" s="187" t="e">
        <v>#DIV/0!</v>
      </c>
      <c r="DB28" s="127" t="s">
        <v>167</v>
      </c>
    </row>
    <row r="29" spans="1:107" x14ac:dyDescent="0.35">
      <c r="A29" s="62" t="s">
        <v>165</v>
      </c>
      <c r="B29" s="46" t="s">
        <v>106</v>
      </c>
      <c r="C29" s="345"/>
      <c r="D29" s="253" t="s">
        <v>47</v>
      </c>
      <c r="E29" s="180" t="s">
        <v>48</v>
      </c>
      <c r="F29" s="260"/>
      <c r="G29" s="241"/>
      <c r="H29" s="60"/>
      <c r="I29" s="60"/>
      <c r="J29" s="60"/>
      <c r="K29" s="81"/>
      <c r="M29" s="80">
        <v>1</v>
      </c>
      <c r="N29" s="216">
        <v>0</v>
      </c>
      <c r="O29" s="217">
        <v>102</v>
      </c>
      <c r="P29" s="217">
        <v>116</v>
      </c>
      <c r="Q29" s="217">
        <v>123.2</v>
      </c>
      <c r="R29" s="217">
        <v>144.25</v>
      </c>
      <c r="S29" s="217">
        <v>92.75</v>
      </c>
      <c r="T29" s="217">
        <v>0</v>
      </c>
      <c r="U29" s="217">
        <v>89</v>
      </c>
      <c r="V29" s="217">
        <v>73</v>
      </c>
      <c r="W29" s="217">
        <v>69.400000000000006</v>
      </c>
      <c r="X29" s="217">
        <v>69.25</v>
      </c>
      <c r="Y29" s="217">
        <v>41.75</v>
      </c>
      <c r="Z29" s="217">
        <v>0</v>
      </c>
      <c r="AA29" s="217">
        <v>0</v>
      </c>
      <c r="AB29" s="159"/>
      <c r="AC29" s="245">
        <v>0</v>
      </c>
      <c r="AD29" s="245">
        <v>0.88585434173669497</v>
      </c>
      <c r="AE29" s="245">
        <v>1.032446311858078</v>
      </c>
      <c r="AF29" s="245">
        <v>1.0775443510737639</v>
      </c>
      <c r="AG29" s="245">
        <v>1.248949579831933</v>
      </c>
      <c r="AH29" s="245">
        <v>0.82668067226890751</v>
      </c>
      <c r="AI29" s="245">
        <v>0</v>
      </c>
      <c r="AJ29" s="245">
        <v>0.73850373482726495</v>
      </c>
      <c r="AK29" s="245">
        <v>0.7275326797385625</v>
      </c>
      <c r="AL29" s="245">
        <v>0.68846872082166199</v>
      </c>
      <c r="AM29" s="245">
        <v>0.68913398692810501</v>
      </c>
      <c r="AN29" s="245">
        <v>0.36577964519140999</v>
      </c>
      <c r="AO29" s="245">
        <v>0</v>
      </c>
      <c r="AP29" s="245">
        <v>0</v>
      </c>
      <c r="AQ29" s="159"/>
      <c r="AR29" s="245">
        <v>0</v>
      </c>
      <c r="AS29" s="245">
        <v>1.002567693744165</v>
      </c>
      <c r="AT29" s="245">
        <v>1.002567693744165</v>
      </c>
      <c r="AU29" s="245">
        <v>1.004201680672268</v>
      </c>
      <c r="AV29" s="245">
        <v>1.013071895424837</v>
      </c>
      <c r="AW29" s="245">
        <v>1.0057189542483651</v>
      </c>
      <c r="AX29" s="245">
        <v>1.9607843137254902E-2</v>
      </c>
      <c r="AY29" s="245">
        <v>0.73850373482726495</v>
      </c>
      <c r="AZ29" s="245">
        <v>0.7275326797385625</v>
      </c>
      <c r="BA29" s="245">
        <v>0.68846872082166199</v>
      </c>
      <c r="BB29" s="245">
        <v>0.68913398692810501</v>
      </c>
      <c r="BC29" s="245">
        <v>0.36577964519140999</v>
      </c>
      <c r="BD29" s="245">
        <v>0</v>
      </c>
      <c r="BE29" s="245">
        <v>0</v>
      </c>
      <c r="BF29" s="153"/>
      <c r="BG29" s="246">
        <v>0</v>
      </c>
      <c r="BH29" s="247">
        <v>0.88585434173669497</v>
      </c>
      <c r="BI29" s="247">
        <v>1.032446311858078</v>
      </c>
      <c r="BJ29" s="247">
        <v>1.0775443510737639</v>
      </c>
      <c r="BK29" s="247">
        <v>1.248949579831933</v>
      </c>
      <c r="BL29" s="247">
        <v>0.82668067226890751</v>
      </c>
      <c r="BM29" s="247">
        <v>0</v>
      </c>
      <c r="BN29" s="247">
        <v>0.73850373482726495</v>
      </c>
      <c r="BO29" s="247">
        <v>0.82668067226890751</v>
      </c>
      <c r="BP29" s="247">
        <v>0</v>
      </c>
      <c r="BQ29" s="247">
        <v>0.73850373482726495</v>
      </c>
      <c r="BR29" s="247">
        <v>6.3737218813906127</v>
      </c>
      <c r="BS29" s="247">
        <v>-21.218705035970569</v>
      </c>
      <c r="BT29" s="247">
        <v>-8.8869656833231829</v>
      </c>
      <c r="BU29" s="169"/>
      <c r="BV29" s="263">
        <v>1</v>
      </c>
      <c r="BW29" s="264">
        <v>1</v>
      </c>
      <c r="BX29" s="265">
        <v>1</v>
      </c>
      <c r="BY29" s="265">
        <v>1</v>
      </c>
      <c r="BZ29" s="266">
        <v>1</v>
      </c>
      <c r="CA29" s="266">
        <v>1</v>
      </c>
      <c r="CB29" s="266">
        <v>1</v>
      </c>
      <c r="CC29" s="266">
        <v>1</v>
      </c>
      <c r="CD29" s="266">
        <v>1</v>
      </c>
      <c r="CE29" s="266">
        <v>1</v>
      </c>
      <c r="CF29" s="266">
        <v>1</v>
      </c>
      <c r="CG29" s="266">
        <v>1</v>
      </c>
      <c r="CH29" s="266">
        <v>1</v>
      </c>
      <c r="CI29" s="248">
        <v>1</v>
      </c>
      <c r="CJ29" s="249">
        <v>1</v>
      </c>
      <c r="CK29" s="250">
        <v>0.114145658263305</v>
      </c>
      <c r="CL29" s="250">
        <v>-3.2446311858077559E-2</v>
      </c>
      <c r="CM29" s="250">
        <v>-7.7544351073763895E-2</v>
      </c>
      <c r="CN29" s="250">
        <v>-0.24894957983193261</v>
      </c>
      <c r="CO29" s="250">
        <v>0.17331932773109249</v>
      </c>
      <c r="CP29" s="250">
        <v>1</v>
      </c>
      <c r="CQ29" s="250">
        <v>0.26149626517273511</v>
      </c>
      <c r="CR29" s="250">
        <v>0.2724673202614375</v>
      </c>
      <c r="CS29" s="250">
        <v>0.31153127917833801</v>
      </c>
      <c r="CT29" s="250">
        <v>0.31086601307189499</v>
      </c>
      <c r="CU29" s="250">
        <v>0.63422035480859007</v>
      </c>
      <c r="CV29" s="250">
        <v>1</v>
      </c>
      <c r="CW29" s="250">
        <v>1</v>
      </c>
      <c r="CX29" s="249">
        <v>0.27550353474723188</v>
      </c>
      <c r="CY29" s="251">
        <v>1</v>
      </c>
      <c r="CZ29" s="127" t="s">
        <v>168</v>
      </c>
      <c r="DA29" s="187">
        <v>0.72449646525276812</v>
      </c>
      <c r="DB29" s="127" t="s">
        <v>169</v>
      </c>
    </row>
    <row r="30" spans="1:107" x14ac:dyDescent="0.35">
      <c r="B30" s="46" t="s">
        <v>106</v>
      </c>
      <c r="C30" s="345"/>
      <c r="D30" s="253" t="s">
        <v>49</v>
      </c>
      <c r="E30" s="180" t="s">
        <v>50</v>
      </c>
      <c r="F30" s="260"/>
      <c r="G30" s="175"/>
      <c r="H30" s="60"/>
      <c r="I30" s="60"/>
      <c r="J30" s="60"/>
      <c r="K30" s="81"/>
      <c r="M30" s="80">
        <v>4</v>
      </c>
      <c r="N30" s="216">
        <v>127.2</v>
      </c>
      <c r="O30" s="217">
        <v>62.5</v>
      </c>
      <c r="P30" s="217">
        <v>112.5</v>
      </c>
      <c r="Q30" s="217">
        <v>185</v>
      </c>
      <c r="R30" s="217">
        <v>118.75</v>
      </c>
      <c r="S30" s="217">
        <v>175</v>
      </c>
      <c r="T30" s="217">
        <v>175</v>
      </c>
      <c r="U30" s="217">
        <v>75</v>
      </c>
      <c r="V30" s="217">
        <v>0</v>
      </c>
      <c r="W30" s="217">
        <v>0</v>
      </c>
      <c r="X30" s="217">
        <v>0</v>
      </c>
      <c r="Y30" s="217">
        <v>0</v>
      </c>
      <c r="Z30" s="217">
        <v>0</v>
      </c>
      <c r="AA30" s="217">
        <v>0</v>
      </c>
      <c r="AB30" s="159"/>
      <c r="AC30" s="245">
        <v>3.02698568316216</v>
      </c>
      <c r="AD30" s="245">
        <v>1.8228194055399931</v>
      </c>
      <c r="AE30" s="245">
        <v>2.8009259259259252</v>
      </c>
      <c r="AF30" s="245">
        <v>4.4442499221910996</v>
      </c>
      <c r="AG30" s="245">
        <v>2.7543864768129498</v>
      </c>
      <c r="AH30" s="245">
        <v>4.0590958605664502</v>
      </c>
      <c r="AI30" s="245">
        <v>4.0590958605664396</v>
      </c>
      <c r="AJ30" s="245">
        <v>1.739612511671335</v>
      </c>
      <c r="AK30" s="245">
        <v>0</v>
      </c>
      <c r="AL30" s="245">
        <v>0</v>
      </c>
      <c r="AM30" s="245">
        <v>0</v>
      </c>
      <c r="AN30" s="245">
        <v>0</v>
      </c>
      <c r="AO30" s="245">
        <v>0</v>
      </c>
      <c r="AP30" s="245">
        <v>0</v>
      </c>
      <c r="AQ30" s="159"/>
      <c r="AR30" s="245">
        <v>2.9991518829754198</v>
      </c>
      <c r="AS30" s="245">
        <v>1.8228194055399931</v>
      </c>
      <c r="AT30" s="245">
        <v>3.4271864301276</v>
      </c>
      <c r="AU30" s="245">
        <v>3.9757142857142802</v>
      </c>
      <c r="AV30" s="245">
        <v>2.841367102396525</v>
      </c>
      <c r="AW30" s="245">
        <v>3.9895113600996002</v>
      </c>
      <c r="AX30" s="245">
        <v>3.9895113600996002</v>
      </c>
      <c r="AY30" s="245">
        <v>1.7222163865546229</v>
      </c>
      <c r="AZ30" s="245">
        <v>0</v>
      </c>
      <c r="BA30" s="245">
        <v>0</v>
      </c>
      <c r="BB30" s="245">
        <v>0</v>
      </c>
      <c r="BC30" s="245">
        <v>0</v>
      </c>
      <c r="BD30" s="245">
        <v>0</v>
      </c>
      <c r="BE30" s="245">
        <v>0</v>
      </c>
      <c r="BF30" s="153"/>
      <c r="BG30" s="246">
        <v>0.75674642079054</v>
      </c>
      <c r="BH30" s="247">
        <v>0.45570485138499822</v>
      </c>
      <c r="BI30" s="247">
        <v>0.70023148148148129</v>
      </c>
      <c r="BJ30" s="247">
        <v>1.1110624805477749</v>
      </c>
      <c r="BK30" s="247">
        <v>0.68859661920323745</v>
      </c>
      <c r="BL30" s="247">
        <v>1.014773965141613</v>
      </c>
      <c r="BM30" s="247">
        <v>1.0147739651416099</v>
      </c>
      <c r="BN30" s="247">
        <v>1.787859111184336</v>
      </c>
      <c r="BO30" s="247">
        <v>1.014773965141613</v>
      </c>
      <c r="BP30" s="247">
        <v>1.0147739651416099</v>
      </c>
      <c r="BQ30" s="247">
        <v>1.787859111184336</v>
      </c>
      <c r="BR30" s="247">
        <v>0</v>
      </c>
      <c r="BS30" s="247">
        <v>0</v>
      </c>
      <c r="BT30" s="247">
        <v>0</v>
      </c>
      <c r="BU30" s="169"/>
      <c r="BV30" s="263">
        <v>4</v>
      </c>
      <c r="BW30" s="264">
        <v>4</v>
      </c>
      <c r="BX30" s="265">
        <v>4</v>
      </c>
      <c r="BY30" s="265">
        <v>4</v>
      </c>
      <c r="BZ30" s="266">
        <v>4</v>
      </c>
      <c r="CA30" s="266">
        <v>4</v>
      </c>
      <c r="CB30" s="266">
        <v>4</v>
      </c>
      <c r="CC30" s="266">
        <v>4</v>
      </c>
      <c r="CD30" s="266">
        <v>4</v>
      </c>
      <c r="CE30" s="266">
        <v>4</v>
      </c>
      <c r="CF30" s="266">
        <v>4</v>
      </c>
      <c r="CG30" s="266">
        <v>4</v>
      </c>
      <c r="CH30" s="266">
        <v>4</v>
      </c>
      <c r="CI30" s="248">
        <v>4</v>
      </c>
      <c r="CJ30" s="249">
        <v>0.97301431683784001</v>
      </c>
      <c r="CK30" s="250">
        <v>2.1771805944600069</v>
      </c>
      <c r="CL30" s="250">
        <v>1.1990740740740751</v>
      </c>
      <c r="CM30" s="250">
        <v>-0.4442499221910996</v>
      </c>
      <c r="CN30" s="250">
        <v>1.24561352318705</v>
      </c>
      <c r="CO30" s="250">
        <v>-5.909586056645022E-2</v>
      </c>
      <c r="CP30" s="250">
        <v>-5.9095860566439562E-2</v>
      </c>
      <c r="CQ30" s="250">
        <v>2.2603874883286652</v>
      </c>
      <c r="CR30" s="250">
        <v>4</v>
      </c>
      <c r="CS30" s="250">
        <v>4</v>
      </c>
      <c r="CT30" s="250">
        <v>4</v>
      </c>
      <c r="CU30" s="250">
        <v>4</v>
      </c>
      <c r="CV30" s="250">
        <v>4</v>
      </c>
      <c r="CW30" s="250">
        <v>4</v>
      </c>
      <c r="CX30" s="249">
        <v>0.71892012360499769</v>
      </c>
      <c r="CY30" s="114"/>
      <c r="CZ30" s="127" t="s">
        <v>170</v>
      </c>
      <c r="DA30" s="187">
        <v>0.82026996909875061</v>
      </c>
      <c r="DB30" s="127" t="s">
        <v>171</v>
      </c>
    </row>
    <row r="31" spans="1:107" ht="16" thickBot="1" x14ac:dyDescent="0.4">
      <c r="B31" s="46" t="s">
        <v>106</v>
      </c>
      <c r="C31" s="345"/>
      <c r="D31" s="253" t="s">
        <v>172</v>
      </c>
      <c r="E31" s="180" t="s">
        <v>173</v>
      </c>
      <c r="F31" s="260"/>
      <c r="G31" s="241"/>
      <c r="H31" s="60"/>
      <c r="I31" s="60"/>
      <c r="J31" s="60"/>
      <c r="K31" s="81"/>
      <c r="M31" s="80">
        <v>5</v>
      </c>
      <c r="N31" s="269">
        <v>5188.6000000000004</v>
      </c>
      <c r="O31" s="270">
        <v>5904.75</v>
      </c>
      <c r="P31" s="270">
        <v>6202</v>
      </c>
      <c r="Q31" s="270">
        <v>6927</v>
      </c>
      <c r="R31" s="270">
        <v>6780.25</v>
      </c>
      <c r="S31" s="270">
        <v>6933.75</v>
      </c>
      <c r="T31" s="270">
        <v>6087.2</v>
      </c>
      <c r="U31" s="270">
        <v>3909.5</v>
      </c>
      <c r="V31" s="270">
        <v>3357</v>
      </c>
      <c r="W31" s="270">
        <v>3377.8</v>
      </c>
      <c r="X31" s="270">
        <v>3191.25</v>
      </c>
      <c r="Y31" s="270">
        <v>3334.25</v>
      </c>
      <c r="Z31" s="270">
        <v>3198.4</v>
      </c>
      <c r="AA31" s="270">
        <v>2574.5</v>
      </c>
      <c r="AB31" s="159"/>
      <c r="AC31" s="245">
        <v>0</v>
      </c>
      <c r="AD31" s="245">
        <v>0</v>
      </c>
      <c r="AE31" s="245">
        <v>0</v>
      </c>
      <c r="AF31" s="245">
        <v>0</v>
      </c>
      <c r="AG31" s="245">
        <v>0</v>
      </c>
      <c r="AH31" s="245">
        <v>0</v>
      </c>
      <c r="AI31" s="245">
        <v>0</v>
      </c>
      <c r="AJ31" s="245">
        <v>0</v>
      </c>
      <c r="AK31" s="245">
        <v>0</v>
      </c>
      <c r="AL31" s="245">
        <v>0</v>
      </c>
      <c r="AM31" s="245">
        <v>0</v>
      </c>
      <c r="AN31" s="245">
        <v>0</v>
      </c>
      <c r="AO31" s="245">
        <v>0</v>
      </c>
      <c r="AP31" s="245">
        <v>0</v>
      </c>
      <c r="AQ31" s="159"/>
      <c r="AR31" s="245">
        <v>3</v>
      </c>
      <c r="AS31" s="245">
        <v>3</v>
      </c>
      <c r="AT31" s="245">
        <v>3</v>
      </c>
      <c r="AU31" s="245">
        <v>3</v>
      </c>
      <c r="AV31" s="245">
        <v>3</v>
      </c>
      <c r="AW31" s="245">
        <v>0</v>
      </c>
      <c r="AX31" s="245">
        <v>0</v>
      </c>
      <c r="AY31" s="245">
        <v>0</v>
      </c>
      <c r="AZ31" s="245">
        <v>0</v>
      </c>
      <c r="BA31" s="245">
        <v>0</v>
      </c>
      <c r="BB31" s="245">
        <v>0</v>
      </c>
      <c r="BC31" s="245">
        <v>0</v>
      </c>
      <c r="BD31" s="245">
        <v>0</v>
      </c>
      <c r="BE31" s="245">
        <v>0</v>
      </c>
      <c r="BF31" s="153"/>
      <c r="BG31" s="246"/>
      <c r="BH31" s="247"/>
      <c r="BI31" s="247"/>
      <c r="BJ31" s="247"/>
      <c r="BK31" s="247"/>
      <c r="BL31" s="247"/>
      <c r="BM31" s="247"/>
      <c r="BN31" s="247"/>
      <c r="BO31" s="247"/>
      <c r="BP31" s="247"/>
      <c r="BQ31" s="247"/>
      <c r="BR31" s="247"/>
      <c r="BS31" s="247"/>
      <c r="BT31" s="247"/>
      <c r="BU31" s="169"/>
      <c r="BV31" s="271">
        <v>5</v>
      </c>
      <c r="BW31" s="272">
        <v>5</v>
      </c>
      <c r="BX31" s="272">
        <v>5</v>
      </c>
      <c r="BY31" s="272">
        <v>5</v>
      </c>
      <c r="BZ31" s="272">
        <v>6</v>
      </c>
      <c r="CA31" s="272">
        <v>6</v>
      </c>
      <c r="CB31" s="272">
        <v>6</v>
      </c>
      <c r="CC31" s="272">
        <v>6</v>
      </c>
      <c r="CD31" s="272">
        <v>6</v>
      </c>
      <c r="CE31" s="272">
        <v>6</v>
      </c>
      <c r="CF31" s="272">
        <v>6</v>
      </c>
      <c r="CG31" s="272">
        <v>6</v>
      </c>
      <c r="CH31" s="272">
        <v>6</v>
      </c>
      <c r="CI31" s="273">
        <v>6</v>
      </c>
      <c r="CJ31" s="274">
        <v>5</v>
      </c>
      <c r="CK31" s="250">
        <v>5</v>
      </c>
      <c r="CL31" s="250">
        <v>5</v>
      </c>
      <c r="CM31" s="250">
        <v>5</v>
      </c>
      <c r="CN31" s="250">
        <v>6</v>
      </c>
      <c r="CO31" s="250">
        <v>6</v>
      </c>
      <c r="CP31" s="250">
        <v>6</v>
      </c>
      <c r="CQ31" s="250">
        <v>6</v>
      </c>
      <c r="CR31" s="250">
        <v>6</v>
      </c>
      <c r="CS31" s="250">
        <v>6</v>
      </c>
      <c r="CT31" s="250">
        <v>6</v>
      </c>
      <c r="CU31" s="250">
        <v>6</v>
      </c>
      <c r="CV31" s="250">
        <v>6</v>
      </c>
      <c r="CW31" s="250">
        <v>6</v>
      </c>
      <c r="CX31" s="249">
        <v>5.4285714285714288</v>
      </c>
      <c r="CY31" s="114">
        <v>6</v>
      </c>
      <c r="CZ31" s="127"/>
      <c r="DA31" s="187">
        <v>0</v>
      </c>
      <c r="DB31" s="127" t="s">
        <v>174</v>
      </c>
    </row>
    <row r="32" spans="1:107" ht="16" thickBot="1" x14ac:dyDescent="0.4">
      <c r="B32" s="46"/>
      <c r="C32" s="347"/>
      <c r="D32" s="253" t="s">
        <v>51</v>
      </c>
      <c r="E32" s="180" t="s">
        <v>52</v>
      </c>
      <c r="F32" s="260"/>
      <c r="G32" s="241"/>
      <c r="H32" s="60"/>
      <c r="I32" s="60"/>
      <c r="J32" s="60"/>
      <c r="K32" s="81"/>
      <c r="M32" s="80">
        <v>1</v>
      </c>
      <c r="N32" s="269">
        <v>112</v>
      </c>
      <c r="O32" s="270">
        <v>166.25</v>
      </c>
      <c r="P32" s="270">
        <v>175</v>
      </c>
      <c r="Q32" s="270">
        <v>147</v>
      </c>
      <c r="R32" s="270">
        <v>128.75</v>
      </c>
      <c r="S32" s="270">
        <v>120.5</v>
      </c>
      <c r="T32" s="270">
        <v>95.8</v>
      </c>
      <c r="U32" s="270">
        <v>97.5</v>
      </c>
      <c r="V32" s="270">
        <v>91</v>
      </c>
      <c r="W32" s="270">
        <v>57.6</v>
      </c>
      <c r="X32" s="270">
        <v>45.5</v>
      </c>
      <c r="Y32" s="270">
        <v>0</v>
      </c>
      <c r="Z32" s="270">
        <v>0</v>
      </c>
      <c r="AA32" s="270">
        <v>0</v>
      </c>
      <c r="AB32" s="159"/>
      <c r="AC32" s="245">
        <v>0.80392156862745201</v>
      </c>
      <c r="AD32" s="245">
        <v>1.193321078431373</v>
      </c>
      <c r="AE32" s="245">
        <v>1.256127450980393</v>
      </c>
      <c r="AF32" s="245">
        <v>1.0551470588235301</v>
      </c>
      <c r="AG32" s="245">
        <v>0.92415091036414498</v>
      </c>
      <c r="AH32" s="245">
        <v>0.864933473389355</v>
      </c>
      <c r="AI32" s="245">
        <v>0.68764005602240796</v>
      </c>
      <c r="AJ32" s="245">
        <v>0.69984243697478998</v>
      </c>
      <c r="AK32" s="245">
        <v>0.65318627450980493</v>
      </c>
      <c r="AL32" s="245">
        <v>0.41344537815125998</v>
      </c>
      <c r="AM32" s="245">
        <v>0.32659313725490252</v>
      </c>
      <c r="AN32" s="245">
        <v>0</v>
      </c>
      <c r="AO32" s="245">
        <v>0</v>
      </c>
      <c r="AP32" s="245">
        <v>0</v>
      </c>
      <c r="AQ32" s="159"/>
      <c r="AR32" s="245">
        <v>0.80392156862745201</v>
      </c>
      <c r="AS32" s="245">
        <v>1.2238270308123249</v>
      </c>
      <c r="AT32" s="245">
        <v>1.256127450980393</v>
      </c>
      <c r="AU32" s="245">
        <v>1.0551470588235301</v>
      </c>
      <c r="AV32" s="245">
        <v>0.92415091036414498</v>
      </c>
      <c r="AW32" s="245">
        <v>0.864933473389355</v>
      </c>
      <c r="AX32" s="245">
        <v>0.68764005602240796</v>
      </c>
      <c r="AY32" s="245">
        <v>0.69984243697478998</v>
      </c>
      <c r="AZ32" s="245">
        <v>0.65318627450980493</v>
      </c>
      <c r="BA32" s="245">
        <v>0.41344537815125998</v>
      </c>
      <c r="BB32" s="245">
        <v>0.32659313725490252</v>
      </c>
      <c r="BC32" s="245">
        <v>0</v>
      </c>
      <c r="BD32" s="245">
        <v>0</v>
      </c>
      <c r="BE32" s="245">
        <v>0</v>
      </c>
      <c r="BF32" s="153"/>
      <c r="BG32" s="246">
        <v>0.80392156862745201</v>
      </c>
      <c r="BH32" s="247">
        <v>1.193321078431373</v>
      </c>
      <c r="BI32" s="247">
        <v>0.62806372549019629</v>
      </c>
      <c r="BJ32" s="247">
        <v>0.52757352941176505</v>
      </c>
      <c r="BK32" s="247">
        <v>0.46207545518207249</v>
      </c>
      <c r="BL32" s="247">
        <v>0.4324667366946775</v>
      </c>
      <c r="BM32" s="247">
        <v>0.34382002801120398</v>
      </c>
      <c r="BN32" s="247">
        <v>3.569196428571447</v>
      </c>
      <c r="BO32" s="247">
        <v>0.4324667366946775</v>
      </c>
      <c r="BP32" s="247">
        <v>0.34382002801120398</v>
      </c>
      <c r="BQ32" s="247">
        <v>3.569196428571447</v>
      </c>
      <c r="BR32" s="247">
        <v>-3.3787638668779758</v>
      </c>
      <c r="BS32" s="247">
        <v>0.5558013650270649</v>
      </c>
      <c r="BT32" s="247">
        <v>0.34565499351491652</v>
      </c>
      <c r="BU32" s="169"/>
      <c r="BV32" s="275">
        <v>1</v>
      </c>
      <c r="BW32" s="276">
        <v>1</v>
      </c>
      <c r="BX32" s="276">
        <v>2</v>
      </c>
      <c r="BY32" s="276">
        <v>2</v>
      </c>
      <c r="BZ32" s="276">
        <v>2</v>
      </c>
      <c r="CA32" s="276">
        <v>2</v>
      </c>
      <c r="CB32" s="276">
        <v>2</v>
      </c>
      <c r="CC32" s="276">
        <v>2</v>
      </c>
      <c r="CD32" s="276">
        <v>2</v>
      </c>
      <c r="CE32" s="276">
        <v>2</v>
      </c>
      <c r="CF32" s="276">
        <v>2</v>
      </c>
      <c r="CG32" s="276">
        <v>2</v>
      </c>
      <c r="CH32" s="276">
        <v>2</v>
      </c>
      <c r="CI32" s="277">
        <v>2</v>
      </c>
      <c r="CJ32" s="278">
        <v>0.19607843137254799</v>
      </c>
      <c r="CK32" s="250">
        <v>-0.19332107843137261</v>
      </c>
      <c r="CL32" s="250">
        <v>0.74387254901960742</v>
      </c>
      <c r="CM32" s="250">
        <v>0.9448529411764699</v>
      </c>
      <c r="CN32" s="250">
        <v>1.075849089635855</v>
      </c>
      <c r="CO32" s="250">
        <v>1.135066526610645</v>
      </c>
      <c r="CP32" s="250">
        <v>1.3123599439775919</v>
      </c>
      <c r="CQ32" s="250">
        <v>1.30015756302521</v>
      </c>
      <c r="CR32" s="250">
        <v>1.3468137254901951</v>
      </c>
      <c r="CS32" s="250">
        <v>1.5865546218487401</v>
      </c>
      <c r="CT32" s="250">
        <v>1.673406862745098</v>
      </c>
      <c r="CU32" s="250">
        <v>2</v>
      </c>
      <c r="CV32" s="250">
        <v>2</v>
      </c>
      <c r="CW32" s="250">
        <v>2</v>
      </c>
      <c r="CX32" s="249">
        <v>0.74496548619447778</v>
      </c>
      <c r="CY32" s="114">
        <v>1.3123599439775919</v>
      </c>
      <c r="CZ32" s="127"/>
      <c r="DA32" s="187">
        <v>0.56543679971988792</v>
      </c>
      <c r="DB32" s="127" t="s">
        <v>130</v>
      </c>
    </row>
    <row r="33" spans="1:107" ht="16" thickBot="1" x14ac:dyDescent="0.35">
      <c r="B33" s="46"/>
      <c r="C33" s="351" t="s">
        <v>175</v>
      </c>
      <c r="D33" s="352"/>
      <c r="E33" s="353"/>
      <c r="F33" s="122"/>
      <c r="G33" s="106"/>
      <c r="H33" s="61"/>
      <c r="I33" s="61"/>
      <c r="J33" s="61"/>
      <c r="K33" s="78">
        <v>102</v>
      </c>
      <c r="M33" s="79">
        <v>91</v>
      </c>
      <c r="N33" s="15">
        <v>4949.3999999999996</v>
      </c>
      <c r="O33" s="16">
        <v>5574</v>
      </c>
      <c r="P33" s="16">
        <v>5798.5</v>
      </c>
      <c r="Q33" s="16">
        <v>6471.7999999999993</v>
      </c>
      <c r="R33" s="49">
        <v>6388.5</v>
      </c>
      <c r="S33" s="49">
        <v>6545.5</v>
      </c>
      <c r="T33" s="49">
        <v>5816.4</v>
      </c>
      <c r="U33" s="49">
        <v>3648</v>
      </c>
      <c r="V33" s="49">
        <v>3193</v>
      </c>
      <c r="W33" s="49">
        <v>3250.8</v>
      </c>
      <c r="X33" s="49">
        <v>3076.5</v>
      </c>
      <c r="Y33" s="49">
        <v>3292.5</v>
      </c>
      <c r="Z33" s="49">
        <v>3198.4</v>
      </c>
      <c r="AA33" s="49">
        <v>2574.5</v>
      </c>
      <c r="AB33" s="164"/>
      <c r="AC33" s="18">
        <v>68.562408134434762</v>
      </c>
      <c r="AD33" s="18">
        <v>74.326185311328587</v>
      </c>
      <c r="AE33" s="18">
        <v>76.731156057836245</v>
      </c>
      <c r="AF33" s="18">
        <v>72.581694467126368</v>
      </c>
      <c r="AG33" s="18">
        <v>64.961003741867884</v>
      </c>
      <c r="AH33" s="18">
        <v>70.621227829853865</v>
      </c>
      <c r="AI33" s="18">
        <v>61.991842446321137</v>
      </c>
      <c r="AJ33" s="18">
        <v>46.925319011856217</v>
      </c>
      <c r="AK33" s="18">
        <v>44.558320544826657</v>
      </c>
      <c r="AL33" s="18">
        <v>44.775808404558447</v>
      </c>
      <c r="AM33" s="18">
        <v>47.162067508808647</v>
      </c>
      <c r="AN33" s="18">
        <v>54.362523548098117</v>
      </c>
      <c r="AO33" s="18">
        <v>57.375003451692187</v>
      </c>
      <c r="AP33" s="18">
        <v>44.644593450519437</v>
      </c>
      <c r="AQ33" s="164"/>
      <c r="AR33" s="18">
        <v>67.991217288855822</v>
      </c>
      <c r="AS33" s="18">
        <v>70.922665740303572</v>
      </c>
      <c r="AT33" s="18">
        <v>75.106308159883341</v>
      </c>
      <c r="AU33" s="18">
        <v>75.868647678940604</v>
      </c>
      <c r="AV33" s="54">
        <v>68.239546854921258</v>
      </c>
      <c r="AW33" s="54">
        <v>72.061259002014538</v>
      </c>
      <c r="AX33" s="54">
        <v>69.163273539604816</v>
      </c>
      <c r="AY33" s="54">
        <v>48.364374040267407</v>
      </c>
      <c r="AZ33" s="54">
        <v>44.514624861425098</v>
      </c>
      <c r="BA33" s="54">
        <v>43.962881951926121</v>
      </c>
      <c r="BB33" s="54">
        <v>45.964525671560928</v>
      </c>
      <c r="BC33" s="54">
        <v>53.164981710850398</v>
      </c>
      <c r="BD33" s="54">
        <v>56.562076999059848</v>
      </c>
      <c r="BE33" s="54">
        <v>41.139359305579397</v>
      </c>
      <c r="BF33" s="167"/>
      <c r="BG33" s="18">
        <v>6.3047226954013436</v>
      </c>
      <c r="BH33" s="18">
        <v>8.0857867558954268</v>
      </c>
      <c r="BI33" s="18">
        <v>8.3978855117304363</v>
      </c>
      <c r="BJ33" s="18">
        <v>8.1918206273377105</v>
      </c>
      <c r="BK33" s="54">
        <v>7.9079273887011956</v>
      </c>
      <c r="BL33" s="54">
        <v>8.9708775132686736</v>
      </c>
      <c r="BM33" s="54">
        <v>8.0628542129445151</v>
      </c>
      <c r="BN33" s="54">
        <v>56.888605971892858</v>
      </c>
      <c r="BO33" s="54">
        <v>8.9708775132686736</v>
      </c>
      <c r="BP33" s="54">
        <v>8.0628542129445151</v>
      </c>
      <c r="BQ33" s="54">
        <v>56.888605971892858</v>
      </c>
      <c r="BR33" s="54">
        <v>33.105751247625513</v>
      </c>
      <c r="BS33" s="54">
        <v>25.46631232786299</v>
      </c>
      <c r="BT33" s="54">
        <v>121.7136366742905</v>
      </c>
      <c r="BU33" s="167"/>
      <c r="BV33" s="38">
        <v>102</v>
      </c>
      <c r="BW33" s="39">
        <v>102</v>
      </c>
      <c r="BX33" s="39">
        <v>103</v>
      </c>
      <c r="BY33" s="39">
        <v>103</v>
      </c>
      <c r="BZ33" s="39">
        <v>103</v>
      </c>
      <c r="CA33" s="39">
        <v>101</v>
      </c>
      <c r="CB33" s="39">
        <v>101</v>
      </c>
      <c r="CC33" s="39">
        <v>101</v>
      </c>
      <c r="CD33" s="39">
        <v>101</v>
      </c>
      <c r="CE33" s="39">
        <v>101</v>
      </c>
      <c r="CF33" s="39">
        <v>101</v>
      </c>
      <c r="CG33" s="39">
        <v>101</v>
      </c>
      <c r="CH33" s="39">
        <v>101</v>
      </c>
      <c r="CI33" s="40">
        <v>101</v>
      </c>
      <c r="CJ33" s="57">
        <v>29.60668461377562</v>
      </c>
      <c r="CK33" s="221">
        <v>23.77181986296333</v>
      </c>
      <c r="CL33" s="221">
        <v>21.179344253399378</v>
      </c>
      <c r="CM33" s="221">
        <v>23.84136420078524</v>
      </c>
      <c r="CN33" s="221">
        <v>33.11150929112307</v>
      </c>
      <c r="CO33" s="221">
        <v>24.62806216392141</v>
      </c>
      <c r="CP33" s="221">
        <v>34.261421637090017</v>
      </c>
      <c r="CQ33" s="221">
        <v>50.896722304670412</v>
      </c>
      <c r="CR33" s="221">
        <v>55.060960500924963</v>
      </c>
      <c r="CS33" s="221">
        <v>55.122277496468627</v>
      </c>
      <c r="CT33" s="221">
        <v>52.822205367008337</v>
      </c>
      <c r="CU33" s="221">
        <v>46.271696806710473</v>
      </c>
      <c r="CV33" s="221">
        <v>43.624996548307813</v>
      </c>
      <c r="CW33" s="222">
        <v>56.355406549480563</v>
      </c>
      <c r="CX33" s="57">
        <v>27.200029431865438</v>
      </c>
      <c r="CY33" s="58">
        <v>34.261421637090017</v>
      </c>
      <c r="CZ33" s="150"/>
      <c r="DA33" s="58"/>
      <c r="DB33" s="150"/>
      <c r="DC33" s="91"/>
    </row>
    <row r="34" spans="1:107" ht="16" thickBot="1" x14ac:dyDescent="0.35">
      <c r="B34" s="46"/>
      <c r="C34" s="351" t="s">
        <v>176</v>
      </c>
      <c r="D34" s="352"/>
      <c r="E34" s="353"/>
      <c r="F34" s="122"/>
      <c r="G34" s="106"/>
      <c r="H34" s="61"/>
      <c r="I34" s="61"/>
      <c r="J34" s="61"/>
      <c r="K34" s="78"/>
      <c r="L34" s="123"/>
      <c r="M34" s="79"/>
      <c r="N34" s="15"/>
      <c r="O34" s="16"/>
      <c r="P34" s="16"/>
      <c r="Q34" s="16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164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64"/>
      <c r="AR34" s="18"/>
      <c r="AS34" s="18"/>
      <c r="AT34" s="18"/>
      <c r="AU34" s="18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167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54"/>
      <c r="BT34" s="54"/>
      <c r="BU34" s="167"/>
      <c r="BV34" s="154"/>
      <c r="BW34" s="155"/>
      <c r="BX34" s="155"/>
      <c r="BY34" s="155"/>
      <c r="BZ34" s="155"/>
      <c r="CA34" s="155"/>
      <c r="CB34" s="156"/>
      <c r="CC34" s="156"/>
      <c r="CD34" s="156"/>
      <c r="CE34" s="156"/>
      <c r="CF34" s="156"/>
      <c r="CG34" s="156"/>
      <c r="CH34" s="156"/>
      <c r="CI34" s="156"/>
      <c r="CJ34" s="124">
        <v>0.70973838613945461</v>
      </c>
      <c r="CK34" s="125">
        <v>0.76694294251996742</v>
      </c>
      <c r="CL34" s="125">
        <v>0.79437529851068567</v>
      </c>
      <c r="CM34" s="125">
        <v>0.76853044465257048</v>
      </c>
      <c r="CN34" s="125">
        <v>0.67852903600851389</v>
      </c>
      <c r="CO34" s="125">
        <v>0.75615780035721369</v>
      </c>
      <c r="CP34" s="125">
        <v>0.66077800359316807</v>
      </c>
      <c r="CQ34" s="125">
        <v>0.49607205638940188</v>
      </c>
      <c r="CR34" s="125">
        <v>0.45484197523836672</v>
      </c>
      <c r="CS34" s="125">
        <v>0.45423487627258791</v>
      </c>
      <c r="CT34" s="125">
        <v>0.47700786765338282</v>
      </c>
      <c r="CU34" s="125">
        <v>0.54186438805237158</v>
      </c>
      <c r="CV34" s="125">
        <v>0.56806934110586327</v>
      </c>
      <c r="CW34" s="125">
        <v>0.44202567772791518</v>
      </c>
      <c r="CX34" s="144">
        <v>0.73357884454022482</v>
      </c>
      <c r="CY34" s="145">
        <v>0.79437529851068567</v>
      </c>
      <c r="CZ34" s="151"/>
      <c r="DA34" s="128">
        <v>0.73357884454022482</v>
      </c>
      <c r="DB34" s="151"/>
      <c r="DC34" s="91"/>
    </row>
    <row r="35" spans="1:107" x14ac:dyDescent="0.35">
      <c r="A35" s="62" t="s">
        <v>177</v>
      </c>
      <c r="B35" s="46" t="s">
        <v>178</v>
      </c>
      <c r="C35" s="344" t="s">
        <v>53</v>
      </c>
      <c r="D35" s="116" t="s">
        <v>179</v>
      </c>
      <c r="E35" s="117" t="s">
        <v>180</v>
      </c>
      <c r="F35" s="279"/>
      <c r="G35" s="241">
        <v>0.85</v>
      </c>
      <c r="H35" s="280" t="s">
        <v>114</v>
      </c>
      <c r="I35" s="280" t="s">
        <v>181</v>
      </c>
      <c r="J35" s="280" t="s">
        <v>110</v>
      </c>
      <c r="K35" s="77">
        <v>4</v>
      </c>
      <c r="M35" s="118">
        <v>1</v>
      </c>
      <c r="N35" s="112">
        <v>1.4</v>
      </c>
      <c r="O35" s="113">
        <v>8</v>
      </c>
      <c r="P35" s="113">
        <v>11.75</v>
      </c>
      <c r="Q35" s="113">
        <v>5.8</v>
      </c>
      <c r="R35" s="113">
        <v>0</v>
      </c>
      <c r="S35" s="113">
        <v>0</v>
      </c>
      <c r="T35" s="113">
        <v>0.6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65"/>
      <c r="AC35" s="245">
        <v>1.521666666666668E-2</v>
      </c>
      <c r="AD35" s="245">
        <v>8.6952380952381003E-2</v>
      </c>
      <c r="AE35" s="245">
        <v>0.12771130952380949</v>
      </c>
      <c r="AF35" s="245">
        <v>6.3040476190476202E-2</v>
      </c>
      <c r="AG35" s="245">
        <v>0</v>
      </c>
      <c r="AH35" s="245">
        <v>0</v>
      </c>
      <c r="AI35" s="245">
        <v>6.5214285714285791E-3</v>
      </c>
      <c r="AJ35" s="245">
        <v>0</v>
      </c>
      <c r="AK35" s="245">
        <v>0</v>
      </c>
      <c r="AL35" s="245">
        <v>0</v>
      </c>
      <c r="AM35" s="245">
        <v>0</v>
      </c>
      <c r="AN35" s="245">
        <v>6.5214285714285791E-3</v>
      </c>
      <c r="AO35" s="245">
        <v>0</v>
      </c>
      <c r="AP35" s="245">
        <v>0</v>
      </c>
      <c r="AQ35" s="165"/>
      <c r="AR35" s="121">
        <v>1.521666666666668E-2</v>
      </c>
      <c r="AS35" s="121">
        <v>8.6952380952381003E-2</v>
      </c>
      <c r="AT35" s="121">
        <v>0.12771130952380949</v>
      </c>
      <c r="AU35" s="121">
        <v>6.3040476190476202E-2</v>
      </c>
      <c r="AV35" s="121">
        <v>0</v>
      </c>
      <c r="AW35" s="121">
        <v>0</v>
      </c>
      <c r="AX35" s="121">
        <v>6.5214285714285791E-3</v>
      </c>
      <c r="AY35" s="121">
        <v>0</v>
      </c>
      <c r="AZ35" s="121">
        <v>0</v>
      </c>
      <c r="BA35" s="121">
        <v>0</v>
      </c>
      <c r="BB35" s="121">
        <v>0</v>
      </c>
      <c r="BC35" s="121">
        <v>0</v>
      </c>
      <c r="BD35" s="121">
        <v>0</v>
      </c>
      <c r="BE35" s="121">
        <v>0</v>
      </c>
      <c r="BF35" s="153"/>
      <c r="BG35" s="246">
        <v>1.521666666666668E-2</v>
      </c>
      <c r="BH35" s="247">
        <v>8.6952380952381003E-2</v>
      </c>
      <c r="BI35" s="247">
        <v>0.12771130952380949</v>
      </c>
      <c r="BJ35" s="247">
        <v>6.3040476190476202E-2</v>
      </c>
      <c r="BK35" s="247">
        <v>0</v>
      </c>
      <c r="BL35" s="247">
        <v>0</v>
      </c>
      <c r="BM35" s="247">
        <v>6.5214285714285791E-3</v>
      </c>
      <c r="BN35" s="247">
        <v>0</v>
      </c>
      <c r="BO35" s="247">
        <v>0</v>
      </c>
      <c r="BP35" s="247">
        <v>6.5214285714285791E-3</v>
      </c>
      <c r="BQ35" s="247">
        <v>0</v>
      </c>
      <c r="BR35" s="247">
        <v>0</v>
      </c>
      <c r="BS35" s="247">
        <v>0</v>
      </c>
      <c r="BT35" s="247">
        <v>0</v>
      </c>
      <c r="BU35" s="169"/>
      <c r="BV35" s="207">
        <v>1</v>
      </c>
      <c r="BW35" s="208">
        <v>1</v>
      </c>
      <c r="BX35" s="208">
        <v>1</v>
      </c>
      <c r="BY35" s="208">
        <v>1</v>
      </c>
      <c r="BZ35" s="208">
        <v>1</v>
      </c>
      <c r="CA35" s="208">
        <v>1</v>
      </c>
      <c r="CB35" s="208">
        <v>1</v>
      </c>
      <c r="CC35" s="208">
        <v>1</v>
      </c>
      <c r="CD35" s="208">
        <v>1</v>
      </c>
      <c r="CE35" s="208">
        <v>1</v>
      </c>
      <c r="CF35" s="208">
        <v>1</v>
      </c>
      <c r="CG35" s="208">
        <v>1</v>
      </c>
      <c r="CH35" s="208">
        <v>1</v>
      </c>
      <c r="CI35" s="209">
        <v>1</v>
      </c>
      <c r="CJ35" s="281">
        <v>0.98478333333333334</v>
      </c>
      <c r="CK35" s="148">
        <v>0.913047619047619</v>
      </c>
      <c r="CL35" s="148">
        <v>0.87228869047619051</v>
      </c>
      <c r="CM35" s="148">
        <v>0.93695952380952385</v>
      </c>
      <c r="CN35" s="130">
        <v>1</v>
      </c>
      <c r="CO35" s="130">
        <v>1</v>
      </c>
      <c r="CP35" s="130">
        <v>0.99347857142857143</v>
      </c>
      <c r="CQ35" s="130">
        <v>1</v>
      </c>
      <c r="CR35" s="130">
        <v>1</v>
      </c>
      <c r="CS35" s="130">
        <v>1</v>
      </c>
      <c r="CT35" s="130">
        <v>1</v>
      </c>
      <c r="CU35" s="130">
        <v>0.99347857142857143</v>
      </c>
      <c r="CV35" s="130">
        <v>1</v>
      </c>
      <c r="CW35" s="130">
        <v>1</v>
      </c>
      <c r="CX35" s="133">
        <v>0.95722253401360546</v>
      </c>
      <c r="CY35" s="134">
        <v>1</v>
      </c>
      <c r="CZ35" s="127"/>
      <c r="DA35" s="187">
        <v>4.2777465986394543E-2</v>
      </c>
      <c r="DB35" s="127" t="s">
        <v>182</v>
      </c>
      <c r="DC35" s="91"/>
    </row>
    <row r="36" spans="1:107" x14ac:dyDescent="0.35">
      <c r="A36" s="62" t="s">
        <v>64</v>
      </c>
      <c r="B36" s="46" t="s">
        <v>178</v>
      </c>
      <c r="C36" s="345"/>
      <c r="D36" s="253" t="s">
        <v>183</v>
      </c>
      <c r="E36" s="282" t="s">
        <v>184</v>
      </c>
      <c r="F36" s="283"/>
      <c r="G36" s="241">
        <v>0.85</v>
      </c>
      <c r="H36" s="280" t="s">
        <v>108</v>
      </c>
      <c r="I36" s="280" t="s">
        <v>185</v>
      </c>
      <c r="J36" s="280" t="s">
        <v>110</v>
      </c>
      <c r="K36" s="77">
        <v>3</v>
      </c>
      <c r="M36" s="244">
        <v>5</v>
      </c>
      <c r="N36" s="119">
        <v>90</v>
      </c>
      <c r="O36" s="120">
        <v>187.5</v>
      </c>
      <c r="P36" s="120">
        <v>137.5</v>
      </c>
      <c r="Q36" s="120">
        <v>162</v>
      </c>
      <c r="R36" s="120">
        <v>173</v>
      </c>
      <c r="S36" s="120">
        <v>155</v>
      </c>
      <c r="T36" s="120">
        <v>95</v>
      </c>
      <c r="U36" s="120">
        <v>204</v>
      </c>
      <c r="V36" s="120">
        <v>192</v>
      </c>
      <c r="W36" s="120">
        <v>145</v>
      </c>
      <c r="X36" s="120">
        <v>180</v>
      </c>
      <c r="Y36" s="120">
        <v>173</v>
      </c>
      <c r="Z36" s="120">
        <v>69.2</v>
      </c>
      <c r="AA36" s="120">
        <v>0</v>
      </c>
      <c r="AB36" s="165"/>
      <c r="AC36" s="245">
        <v>2.2131866635543198</v>
      </c>
      <c r="AD36" s="245">
        <v>4.4656352124182996</v>
      </c>
      <c r="AE36" s="245">
        <v>3.27930477746655</v>
      </c>
      <c r="AF36" s="245">
        <v>3.91041083099906</v>
      </c>
      <c r="AG36" s="245">
        <v>4.118166433239975</v>
      </c>
      <c r="AH36" s="245">
        <v>3.7626147681294748</v>
      </c>
      <c r="AI36" s="245">
        <v>2.1920809990663002</v>
      </c>
      <c r="AJ36" s="245">
        <v>4.9629357298474996</v>
      </c>
      <c r="AK36" s="245">
        <v>4.8048961251167253</v>
      </c>
      <c r="AL36" s="245">
        <v>3.6604127762215999</v>
      </c>
      <c r="AM36" s="245">
        <v>4.8048961251167253</v>
      </c>
      <c r="AN36" s="245">
        <v>2.1920809990663002</v>
      </c>
      <c r="AO36" s="245">
        <v>4.9629357298474996</v>
      </c>
      <c r="AP36" s="245">
        <v>4.8048961251167253</v>
      </c>
      <c r="AQ36" s="165"/>
      <c r="AR36" s="121">
        <v>2.2131866635543198</v>
      </c>
      <c r="AS36" s="121">
        <v>4.4656352124182996</v>
      </c>
      <c r="AT36" s="121">
        <v>3.27930477746655</v>
      </c>
      <c r="AU36" s="121">
        <v>3.91041083099906</v>
      </c>
      <c r="AV36" s="121">
        <v>4.118166433239975</v>
      </c>
      <c r="AW36" s="121">
        <v>3.7626147681294748</v>
      </c>
      <c r="AX36" s="121">
        <v>2.8477268129473998</v>
      </c>
      <c r="AY36" s="121">
        <v>4.33029586834735</v>
      </c>
      <c r="AZ36" s="121">
        <v>4.5444113756613751</v>
      </c>
      <c r="BA36" s="121">
        <v>3.8368833644569</v>
      </c>
      <c r="BB36" s="121">
        <v>4.4087009803921502</v>
      </c>
      <c r="BC36" s="121">
        <v>4.4087009803921502</v>
      </c>
      <c r="BD36" s="121">
        <v>1.763480392156862</v>
      </c>
      <c r="BE36" s="121">
        <v>0</v>
      </c>
      <c r="BF36" s="153"/>
      <c r="BG36" s="246">
        <v>0.44263733271086397</v>
      </c>
      <c r="BH36" s="247">
        <v>0.89312704248365993</v>
      </c>
      <c r="BI36" s="247">
        <v>0.65586095549331003</v>
      </c>
      <c r="BJ36" s="247">
        <v>0.78208216619981197</v>
      </c>
      <c r="BK36" s="247">
        <v>0.82363328664799496</v>
      </c>
      <c r="BL36" s="247">
        <v>0.75252295362589494</v>
      </c>
      <c r="BM36" s="247">
        <v>0.43841619981326002</v>
      </c>
      <c r="BN36" s="247">
        <v>1.78086406611548</v>
      </c>
      <c r="BO36" s="247">
        <v>0.75252295362589494</v>
      </c>
      <c r="BP36" s="247">
        <v>0.43841619981326002</v>
      </c>
      <c r="BQ36" s="247">
        <v>1.78086406611548</v>
      </c>
      <c r="BR36" s="247">
        <v>8.9917903214797672</v>
      </c>
      <c r="BS36" s="247">
        <v>2.1272871152813599</v>
      </c>
      <c r="BT36" s="247">
        <v>4.4098236856763213</v>
      </c>
      <c r="BU36" s="169"/>
      <c r="BV36" s="172">
        <v>5</v>
      </c>
      <c r="BW36" s="210">
        <v>5</v>
      </c>
      <c r="BX36" s="210">
        <v>5</v>
      </c>
      <c r="BY36" s="210">
        <v>5</v>
      </c>
      <c r="BZ36" s="210">
        <v>5</v>
      </c>
      <c r="CA36" s="210">
        <v>5</v>
      </c>
      <c r="CB36" s="210">
        <v>5</v>
      </c>
      <c r="CC36" s="210">
        <v>5</v>
      </c>
      <c r="CD36" s="210">
        <v>5</v>
      </c>
      <c r="CE36" s="210">
        <v>5</v>
      </c>
      <c r="CF36" s="210">
        <v>5</v>
      </c>
      <c r="CG36" s="210">
        <v>5</v>
      </c>
      <c r="CH36" s="210">
        <v>5</v>
      </c>
      <c r="CI36" s="211">
        <v>5</v>
      </c>
      <c r="CJ36" s="249">
        <v>2.7868133364456802</v>
      </c>
      <c r="CK36" s="250">
        <v>0.53436478758170036</v>
      </c>
      <c r="CL36" s="250">
        <v>1.72069522253345</v>
      </c>
      <c r="CM36" s="250">
        <v>1.08958916900094</v>
      </c>
      <c r="CN36" s="250">
        <v>0.881833566760025</v>
      </c>
      <c r="CO36" s="250">
        <v>1.237385231870525</v>
      </c>
      <c r="CP36" s="250">
        <v>2.8079190009336998</v>
      </c>
      <c r="CQ36" s="250">
        <v>3.7064270152500363E-2</v>
      </c>
      <c r="CR36" s="250">
        <v>0.19510387488327471</v>
      </c>
      <c r="CS36" s="250">
        <v>1.3395872237783999</v>
      </c>
      <c r="CT36" s="250">
        <v>0.19510387488327471</v>
      </c>
      <c r="CU36" s="250">
        <v>2.8079190009336998</v>
      </c>
      <c r="CV36" s="250">
        <v>3.7064270152500363E-2</v>
      </c>
      <c r="CW36" s="250">
        <v>0.19510387488327471</v>
      </c>
      <c r="CX36" s="249">
        <v>1.579800045018003</v>
      </c>
      <c r="CY36" s="251">
        <v>2.8079190009336998</v>
      </c>
      <c r="CZ36" s="127"/>
      <c r="DA36" s="187">
        <v>0.68403999099639945</v>
      </c>
      <c r="DB36" s="127" t="s">
        <v>186</v>
      </c>
    </row>
    <row r="37" spans="1:107" x14ac:dyDescent="0.35">
      <c r="A37" s="62" t="s">
        <v>64</v>
      </c>
      <c r="B37" s="46" t="s">
        <v>178</v>
      </c>
      <c r="C37" s="345"/>
      <c r="D37" s="253" t="s">
        <v>64</v>
      </c>
      <c r="E37" s="282" t="s">
        <v>67</v>
      </c>
      <c r="F37" s="283"/>
      <c r="G37" s="241">
        <v>0.85</v>
      </c>
      <c r="H37" s="280" t="s">
        <v>114</v>
      </c>
      <c r="I37" s="280" t="s">
        <v>114</v>
      </c>
      <c r="J37" s="280" t="s">
        <v>110</v>
      </c>
      <c r="K37" s="77">
        <v>1</v>
      </c>
      <c r="M37" s="244">
        <v>0</v>
      </c>
      <c r="N37" s="119">
        <v>0</v>
      </c>
      <c r="O37" s="120">
        <v>0</v>
      </c>
      <c r="P37" s="120">
        <v>0</v>
      </c>
      <c r="Q37" s="120">
        <v>0</v>
      </c>
      <c r="R37" s="120">
        <v>0</v>
      </c>
      <c r="S37" s="120">
        <v>0</v>
      </c>
      <c r="T37" s="120">
        <v>0</v>
      </c>
      <c r="U37" s="120">
        <v>0</v>
      </c>
      <c r="V37" s="120">
        <v>0</v>
      </c>
      <c r="W37" s="120">
        <v>0</v>
      </c>
      <c r="X37" s="120">
        <v>0</v>
      </c>
      <c r="Y37" s="120">
        <v>0</v>
      </c>
      <c r="Z37" s="120">
        <v>0</v>
      </c>
      <c r="AA37" s="120">
        <v>0</v>
      </c>
      <c r="AB37" s="165"/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  <c r="AO37" s="245">
        <v>0</v>
      </c>
      <c r="AP37" s="245">
        <v>0</v>
      </c>
      <c r="AQ37" s="165"/>
      <c r="AR37" s="121">
        <v>0</v>
      </c>
      <c r="AS37" s="121">
        <v>0</v>
      </c>
      <c r="AT37" s="121">
        <v>0</v>
      </c>
      <c r="AU37" s="121">
        <v>0</v>
      </c>
      <c r="AV37" s="121">
        <v>0</v>
      </c>
      <c r="AW37" s="121">
        <v>0</v>
      </c>
      <c r="AX37" s="121">
        <v>0</v>
      </c>
      <c r="AY37" s="121">
        <v>0</v>
      </c>
      <c r="AZ37" s="121">
        <v>0</v>
      </c>
      <c r="BA37" s="121">
        <v>0</v>
      </c>
      <c r="BB37" s="121">
        <v>0</v>
      </c>
      <c r="BC37" s="121">
        <v>0</v>
      </c>
      <c r="BD37" s="121">
        <v>0</v>
      </c>
      <c r="BE37" s="121">
        <v>0</v>
      </c>
      <c r="BF37" s="153"/>
      <c r="BG37" s="246">
        <v>0</v>
      </c>
      <c r="BH37" s="247">
        <v>0</v>
      </c>
      <c r="BI37" s="247">
        <v>0</v>
      </c>
      <c r="BJ37" s="247">
        <v>0</v>
      </c>
      <c r="BK37" s="247">
        <v>0</v>
      </c>
      <c r="BL37" s="247">
        <v>0</v>
      </c>
      <c r="BM37" s="247">
        <v>0</v>
      </c>
      <c r="BN37" s="247">
        <v>0</v>
      </c>
      <c r="BO37" s="247">
        <v>0</v>
      </c>
      <c r="BP37" s="247">
        <v>0</v>
      </c>
      <c r="BQ37" s="247">
        <v>0</v>
      </c>
      <c r="BR37" s="247">
        <v>0</v>
      </c>
      <c r="BS37" s="247">
        <v>0</v>
      </c>
      <c r="BT37" s="247">
        <v>0</v>
      </c>
      <c r="BU37" s="169"/>
      <c r="BV37" s="172">
        <v>0</v>
      </c>
      <c r="BW37" s="210">
        <v>0</v>
      </c>
      <c r="BX37" s="210">
        <v>0</v>
      </c>
      <c r="BY37" s="210">
        <v>0</v>
      </c>
      <c r="BZ37" s="210">
        <v>0</v>
      </c>
      <c r="CA37" s="210">
        <v>0</v>
      </c>
      <c r="CB37" s="210">
        <v>0</v>
      </c>
      <c r="CC37" s="210">
        <v>0</v>
      </c>
      <c r="CD37" s="210">
        <v>0</v>
      </c>
      <c r="CE37" s="210">
        <v>0</v>
      </c>
      <c r="CF37" s="210">
        <v>0</v>
      </c>
      <c r="CG37" s="210">
        <v>0</v>
      </c>
      <c r="CH37" s="210">
        <v>0</v>
      </c>
      <c r="CI37" s="211">
        <v>0</v>
      </c>
      <c r="CJ37" s="249">
        <v>0</v>
      </c>
      <c r="CK37" s="250">
        <v>0</v>
      </c>
      <c r="CL37" s="250">
        <v>0</v>
      </c>
      <c r="CM37" s="250">
        <v>0</v>
      </c>
      <c r="CN37" s="284">
        <v>0</v>
      </c>
      <c r="CO37" s="284">
        <v>0</v>
      </c>
      <c r="CP37" s="284">
        <v>0</v>
      </c>
      <c r="CQ37" s="284">
        <v>0</v>
      </c>
      <c r="CR37" s="284">
        <v>0</v>
      </c>
      <c r="CS37" s="284">
        <v>0</v>
      </c>
      <c r="CT37" s="284">
        <v>0</v>
      </c>
      <c r="CU37" s="284">
        <v>0</v>
      </c>
      <c r="CV37" s="284">
        <v>0</v>
      </c>
      <c r="CW37" s="284">
        <v>0</v>
      </c>
      <c r="CX37" s="249">
        <v>0</v>
      </c>
      <c r="CY37" s="251">
        <v>0</v>
      </c>
      <c r="CZ37" s="127"/>
      <c r="DA37" s="187" t="e">
        <v>#DIV/0!</v>
      </c>
      <c r="DB37" s="127" t="s">
        <v>187</v>
      </c>
    </row>
    <row r="38" spans="1:107" x14ac:dyDescent="0.35">
      <c r="A38" s="62" t="s">
        <v>128</v>
      </c>
      <c r="B38" s="46" t="s">
        <v>178</v>
      </c>
      <c r="C38" s="345"/>
      <c r="D38" s="253" t="s">
        <v>128</v>
      </c>
      <c r="E38" s="282" t="s">
        <v>188</v>
      </c>
      <c r="F38" s="283"/>
      <c r="G38" s="241">
        <v>0.85</v>
      </c>
      <c r="H38" s="280" t="s">
        <v>114</v>
      </c>
      <c r="I38" s="280" t="s">
        <v>189</v>
      </c>
      <c r="J38" s="280" t="s">
        <v>110</v>
      </c>
      <c r="K38" s="77">
        <v>2</v>
      </c>
      <c r="M38" s="244">
        <v>0</v>
      </c>
      <c r="N38" s="119">
        <v>0</v>
      </c>
      <c r="O38" s="120">
        <v>0</v>
      </c>
      <c r="P38" s="120">
        <v>0</v>
      </c>
      <c r="Q38" s="120">
        <v>0</v>
      </c>
      <c r="R38" s="120">
        <v>0</v>
      </c>
      <c r="S38" s="120">
        <v>0</v>
      </c>
      <c r="T38" s="120">
        <v>0</v>
      </c>
      <c r="U38" s="120">
        <v>0</v>
      </c>
      <c r="V38" s="120">
        <v>0</v>
      </c>
      <c r="W38" s="120">
        <v>0</v>
      </c>
      <c r="X38" s="120">
        <v>0</v>
      </c>
      <c r="Y38" s="120">
        <v>0</v>
      </c>
      <c r="Z38" s="120">
        <v>0</v>
      </c>
      <c r="AA38" s="120">
        <v>0</v>
      </c>
      <c r="AB38" s="165"/>
      <c r="AC38" s="245">
        <v>0</v>
      </c>
      <c r="AD38" s="245">
        <v>0</v>
      </c>
      <c r="AE38" s="245">
        <v>0</v>
      </c>
      <c r="AF38" s="245">
        <v>0</v>
      </c>
      <c r="AG38" s="245">
        <v>0</v>
      </c>
      <c r="AH38" s="245">
        <v>0</v>
      </c>
      <c r="AI38" s="245">
        <v>0</v>
      </c>
      <c r="AJ38" s="245">
        <v>0</v>
      </c>
      <c r="AK38" s="245">
        <v>0</v>
      </c>
      <c r="AL38" s="245">
        <v>0</v>
      </c>
      <c r="AM38" s="245">
        <v>0</v>
      </c>
      <c r="AN38" s="245">
        <v>0</v>
      </c>
      <c r="AO38" s="245">
        <v>0</v>
      </c>
      <c r="AP38" s="245">
        <v>0</v>
      </c>
      <c r="AQ38" s="165"/>
      <c r="AR38" s="121">
        <v>0</v>
      </c>
      <c r="AS38" s="121">
        <v>0</v>
      </c>
      <c r="AT38" s="121">
        <v>0</v>
      </c>
      <c r="AU38" s="121">
        <v>0</v>
      </c>
      <c r="AV38" s="121">
        <v>0</v>
      </c>
      <c r="AW38" s="121">
        <v>0</v>
      </c>
      <c r="AX38" s="121">
        <v>0</v>
      </c>
      <c r="AY38" s="121">
        <v>0</v>
      </c>
      <c r="AZ38" s="121">
        <v>0</v>
      </c>
      <c r="BA38" s="121">
        <v>0</v>
      </c>
      <c r="BB38" s="121">
        <v>0</v>
      </c>
      <c r="BC38" s="121">
        <v>0</v>
      </c>
      <c r="BD38" s="121">
        <v>0</v>
      </c>
      <c r="BE38" s="121">
        <v>0</v>
      </c>
      <c r="BF38" s="153"/>
      <c r="BG38" s="246">
        <v>0</v>
      </c>
      <c r="BH38" s="247">
        <v>0</v>
      </c>
      <c r="BI38" s="247">
        <v>0</v>
      </c>
      <c r="BJ38" s="247">
        <v>0</v>
      </c>
      <c r="BK38" s="247">
        <v>0</v>
      </c>
      <c r="BL38" s="247">
        <v>0</v>
      </c>
      <c r="BM38" s="247">
        <v>0</v>
      </c>
      <c r="BN38" s="247">
        <v>0</v>
      </c>
      <c r="BO38" s="247">
        <v>0</v>
      </c>
      <c r="BP38" s="247">
        <v>0</v>
      </c>
      <c r="BQ38" s="247">
        <v>0</v>
      </c>
      <c r="BR38" s="247">
        <v>0</v>
      </c>
      <c r="BS38" s="247">
        <v>0</v>
      </c>
      <c r="BT38" s="247">
        <v>0</v>
      </c>
      <c r="BU38" s="169"/>
      <c r="BV38" s="172">
        <v>0</v>
      </c>
      <c r="BW38" s="210">
        <v>0</v>
      </c>
      <c r="BX38" s="210">
        <v>0</v>
      </c>
      <c r="BY38" s="210">
        <v>0</v>
      </c>
      <c r="BZ38" s="210">
        <v>0</v>
      </c>
      <c r="CA38" s="210">
        <v>0</v>
      </c>
      <c r="CB38" s="210">
        <v>0</v>
      </c>
      <c r="CC38" s="210">
        <v>0</v>
      </c>
      <c r="CD38" s="210">
        <v>0</v>
      </c>
      <c r="CE38" s="210">
        <v>0</v>
      </c>
      <c r="CF38" s="210">
        <v>0</v>
      </c>
      <c r="CG38" s="210">
        <v>0</v>
      </c>
      <c r="CH38" s="210">
        <v>0</v>
      </c>
      <c r="CI38" s="211">
        <v>0</v>
      </c>
      <c r="CJ38" s="249">
        <v>0</v>
      </c>
      <c r="CK38" s="250">
        <v>0</v>
      </c>
      <c r="CL38" s="250">
        <v>0</v>
      </c>
      <c r="CM38" s="250">
        <v>0</v>
      </c>
      <c r="CN38" s="284">
        <v>0</v>
      </c>
      <c r="CO38" s="284">
        <v>0</v>
      </c>
      <c r="CP38" s="284">
        <v>0</v>
      </c>
      <c r="CQ38" s="284">
        <v>0</v>
      </c>
      <c r="CR38" s="284">
        <v>0</v>
      </c>
      <c r="CS38" s="284">
        <v>0</v>
      </c>
      <c r="CT38" s="284">
        <v>0</v>
      </c>
      <c r="CU38" s="284">
        <v>0</v>
      </c>
      <c r="CV38" s="284">
        <v>0</v>
      </c>
      <c r="CW38" s="284">
        <v>0</v>
      </c>
      <c r="CX38" s="249">
        <v>0</v>
      </c>
      <c r="CY38" s="251">
        <v>0</v>
      </c>
      <c r="CZ38" s="127"/>
      <c r="DA38" s="187" t="e">
        <v>#DIV/0!</v>
      </c>
      <c r="DB38" s="127" t="s">
        <v>190</v>
      </c>
      <c r="DC38" s="91"/>
    </row>
    <row r="39" spans="1:107" x14ac:dyDescent="0.35">
      <c r="A39" s="62" t="s">
        <v>191</v>
      </c>
      <c r="B39" s="46" t="s">
        <v>178</v>
      </c>
      <c r="C39" s="345"/>
      <c r="D39" s="253" t="s">
        <v>191</v>
      </c>
      <c r="E39" s="282" t="s">
        <v>67</v>
      </c>
      <c r="F39" s="283"/>
      <c r="G39" s="241">
        <v>0.85</v>
      </c>
      <c r="H39" s="176" t="s">
        <v>114</v>
      </c>
      <c r="I39" s="176" t="s">
        <v>181</v>
      </c>
      <c r="J39" s="176" t="s">
        <v>110</v>
      </c>
      <c r="K39" s="177">
        <v>1</v>
      </c>
      <c r="M39" s="244">
        <v>1</v>
      </c>
      <c r="N39" s="119">
        <v>0</v>
      </c>
      <c r="O39" s="120">
        <v>6.25</v>
      </c>
      <c r="P39" s="120">
        <v>0</v>
      </c>
      <c r="Q39" s="120">
        <v>0</v>
      </c>
      <c r="R39" s="120">
        <v>0</v>
      </c>
      <c r="S39" s="120">
        <v>0</v>
      </c>
      <c r="T39" s="120">
        <v>0</v>
      </c>
      <c r="U39" s="120">
        <v>0</v>
      </c>
      <c r="V39" s="120">
        <v>0</v>
      </c>
      <c r="W39" s="120">
        <v>0</v>
      </c>
      <c r="X39" s="120">
        <v>0</v>
      </c>
      <c r="Y39" s="120">
        <v>0</v>
      </c>
      <c r="Z39" s="120">
        <v>0</v>
      </c>
      <c r="AA39" s="120">
        <v>0</v>
      </c>
      <c r="AB39" s="165"/>
      <c r="AC39" s="245">
        <v>0</v>
      </c>
      <c r="AD39" s="245">
        <v>0.1823646125116713</v>
      </c>
      <c r="AE39" s="245">
        <v>0</v>
      </c>
      <c r="AF39" s="245">
        <v>0</v>
      </c>
      <c r="AG39" s="245">
        <v>0</v>
      </c>
      <c r="AH39" s="245">
        <v>0</v>
      </c>
      <c r="AI39" s="245">
        <v>0</v>
      </c>
      <c r="AJ39" s="245">
        <v>0</v>
      </c>
      <c r="AK39" s="245">
        <v>0</v>
      </c>
      <c r="AL39" s="245">
        <v>0</v>
      </c>
      <c r="AM39" s="245">
        <v>0</v>
      </c>
      <c r="AN39" s="245">
        <v>0</v>
      </c>
      <c r="AO39" s="245">
        <v>0</v>
      </c>
      <c r="AP39" s="245">
        <v>0</v>
      </c>
      <c r="AQ39" s="165"/>
      <c r="AR39" s="121">
        <v>0</v>
      </c>
      <c r="AS39" s="121">
        <v>0.1823646125116713</v>
      </c>
      <c r="AT39" s="121">
        <v>0</v>
      </c>
      <c r="AU39" s="121">
        <v>0</v>
      </c>
      <c r="AV39" s="121">
        <v>0</v>
      </c>
      <c r="AW39" s="121">
        <v>0</v>
      </c>
      <c r="AX39" s="121">
        <v>0</v>
      </c>
      <c r="AY39" s="121">
        <v>0</v>
      </c>
      <c r="AZ39" s="121">
        <v>0</v>
      </c>
      <c r="BA39" s="121">
        <v>0</v>
      </c>
      <c r="BB39" s="121">
        <v>0</v>
      </c>
      <c r="BC39" s="121">
        <v>0</v>
      </c>
      <c r="BD39" s="121">
        <v>0</v>
      </c>
      <c r="BE39" s="121">
        <v>0</v>
      </c>
      <c r="BF39" s="153"/>
      <c r="BG39" s="246">
        <v>0</v>
      </c>
      <c r="BH39" s="247">
        <v>0.1823646125116713</v>
      </c>
      <c r="BI39" s="247">
        <v>0</v>
      </c>
      <c r="BJ39" s="247">
        <v>0</v>
      </c>
      <c r="BK39" s="247">
        <v>0</v>
      </c>
      <c r="BL39" s="247">
        <v>0</v>
      </c>
      <c r="BM39" s="247">
        <v>0</v>
      </c>
      <c r="BN39" s="247">
        <v>0</v>
      </c>
      <c r="BO39" s="247">
        <v>0</v>
      </c>
      <c r="BP39" s="247">
        <v>0</v>
      </c>
      <c r="BQ39" s="247">
        <v>0</v>
      </c>
      <c r="BR39" s="247">
        <v>0</v>
      </c>
      <c r="BS39" s="247">
        <v>0</v>
      </c>
      <c r="BT39" s="247">
        <v>0</v>
      </c>
      <c r="BU39" s="169"/>
      <c r="BV39" s="172">
        <v>1</v>
      </c>
      <c r="BW39" s="210">
        <v>1</v>
      </c>
      <c r="BX39" s="210">
        <v>1</v>
      </c>
      <c r="BY39" s="210">
        <v>1</v>
      </c>
      <c r="BZ39" s="210">
        <v>1</v>
      </c>
      <c r="CA39" s="210">
        <v>1</v>
      </c>
      <c r="CB39" s="210">
        <v>1</v>
      </c>
      <c r="CC39" s="210">
        <v>1</v>
      </c>
      <c r="CD39" s="210">
        <v>1</v>
      </c>
      <c r="CE39" s="210">
        <v>1</v>
      </c>
      <c r="CF39" s="210">
        <v>1</v>
      </c>
      <c r="CG39" s="210">
        <v>1</v>
      </c>
      <c r="CH39" s="210">
        <v>1</v>
      </c>
      <c r="CI39" s="211">
        <v>1</v>
      </c>
      <c r="CJ39" s="249">
        <v>1</v>
      </c>
      <c r="CK39" s="250">
        <v>0.81763538748832876</v>
      </c>
      <c r="CL39" s="250">
        <v>1</v>
      </c>
      <c r="CM39" s="250">
        <v>1</v>
      </c>
      <c r="CN39" s="284">
        <v>1</v>
      </c>
      <c r="CO39" s="284">
        <v>1</v>
      </c>
      <c r="CP39" s="284">
        <v>1</v>
      </c>
      <c r="CQ39" s="284">
        <v>1</v>
      </c>
      <c r="CR39" s="284">
        <v>1</v>
      </c>
      <c r="CS39" s="284">
        <v>1</v>
      </c>
      <c r="CT39" s="284">
        <v>1</v>
      </c>
      <c r="CU39" s="284">
        <v>1</v>
      </c>
      <c r="CV39" s="284">
        <v>1</v>
      </c>
      <c r="CW39" s="284">
        <v>1</v>
      </c>
      <c r="CX39" s="249">
        <v>0.97394791249833268</v>
      </c>
      <c r="CY39" s="251">
        <v>1</v>
      </c>
      <c r="CZ39" s="127"/>
      <c r="DA39" s="187">
        <v>2.605208750166732E-2</v>
      </c>
      <c r="DB39" s="127" t="s">
        <v>192</v>
      </c>
      <c r="DC39" s="91"/>
    </row>
    <row r="40" spans="1:107" x14ac:dyDescent="0.35">
      <c r="A40" s="62" t="s">
        <v>193</v>
      </c>
      <c r="B40" s="46" t="s">
        <v>178</v>
      </c>
      <c r="C40" s="345"/>
      <c r="D40" s="253" t="s">
        <v>193</v>
      </c>
      <c r="E40" s="282" t="s">
        <v>194</v>
      </c>
      <c r="F40" s="283"/>
      <c r="G40" s="241">
        <v>0.85</v>
      </c>
      <c r="H40" s="176" t="s">
        <v>108</v>
      </c>
      <c r="I40" s="176" t="s">
        <v>181</v>
      </c>
      <c r="J40" s="176" t="s">
        <v>110</v>
      </c>
      <c r="K40" s="177">
        <v>1</v>
      </c>
      <c r="M40" s="244">
        <v>1</v>
      </c>
      <c r="N40" s="119">
        <v>0</v>
      </c>
      <c r="O40" s="120">
        <v>2.75</v>
      </c>
      <c r="P40" s="120">
        <v>0</v>
      </c>
      <c r="Q40" s="120">
        <v>0</v>
      </c>
      <c r="R40" s="120">
        <v>0</v>
      </c>
      <c r="S40" s="120">
        <v>0</v>
      </c>
      <c r="T40" s="120">
        <v>0</v>
      </c>
      <c r="U40" s="120">
        <v>0</v>
      </c>
      <c r="V40" s="120">
        <v>0</v>
      </c>
      <c r="W40" s="120">
        <v>0</v>
      </c>
      <c r="X40" s="120">
        <v>0</v>
      </c>
      <c r="Y40" s="120">
        <v>0</v>
      </c>
      <c r="Z40" s="120">
        <v>0</v>
      </c>
      <c r="AA40" s="120">
        <v>0</v>
      </c>
      <c r="AB40" s="165"/>
      <c r="AC40" s="245">
        <v>0</v>
      </c>
      <c r="AD40" s="245">
        <v>9.2173786181139E-2</v>
      </c>
      <c r="AE40" s="245">
        <v>0</v>
      </c>
      <c r="AF40" s="245">
        <v>0</v>
      </c>
      <c r="AG40" s="245">
        <v>0</v>
      </c>
      <c r="AH40" s="245">
        <v>0</v>
      </c>
      <c r="AI40" s="245">
        <v>0</v>
      </c>
      <c r="AJ40" s="245">
        <v>0</v>
      </c>
      <c r="AK40" s="245">
        <v>0</v>
      </c>
      <c r="AL40" s="245">
        <v>0</v>
      </c>
      <c r="AM40" s="245">
        <v>0</v>
      </c>
      <c r="AN40" s="245">
        <v>0</v>
      </c>
      <c r="AO40" s="245">
        <v>0</v>
      </c>
      <c r="AP40" s="245">
        <v>0</v>
      </c>
      <c r="AQ40" s="165"/>
      <c r="AR40" s="121">
        <v>0</v>
      </c>
      <c r="AS40" s="121">
        <v>9.2173786181139E-2</v>
      </c>
      <c r="AT40" s="121">
        <v>0</v>
      </c>
      <c r="AU40" s="121">
        <v>0</v>
      </c>
      <c r="AV40" s="121">
        <v>0</v>
      </c>
      <c r="AW40" s="121">
        <v>0</v>
      </c>
      <c r="AX40" s="121">
        <v>0</v>
      </c>
      <c r="AY40" s="121">
        <v>0</v>
      </c>
      <c r="AZ40" s="121">
        <v>0</v>
      </c>
      <c r="BA40" s="121">
        <v>0</v>
      </c>
      <c r="BB40" s="121">
        <v>0</v>
      </c>
      <c r="BC40" s="121">
        <v>0</v>
      </c>
      <c r="BD40" s="121">
        <v>0</v>
      </c>
      <c r="BE40" s="121">
        <v>0</v>
      </c>
      <c r="BF40" s="153"/>
      <c r="BG40" s="246">
        <v>0</v>
      </c>
      <c r="BH40" s="247">
        <v>9.2173786181139E-2</v>
      </c>
      <c r="BI40" s="247">
        <v>0</v>
      </c>
      <c r="BJ40" s="247">
        <v>0</v>
      </c>
      <c r="BK40" s="247">
        <v>0</v>
      </c>
      <c r="BL40" s="247">
        <v>0</v>
      </c>
      <c r="BM40" s="247">
        <v>0</v>
      </c>
      <c r="BN40" s="247">
        <v>0</v>
      </c>
      <c r="BO40" s="247">
        <v>0</v>
      </c>
      <c r="BP40" s="247">
        <v>0</v>
      </c>
      <c r="BQ40" s="247">
        <v>0</v>
      </c>
      <c r="BR40" s="247">
        <v>0</v>
      </c>
      <c r="BS40" s="247">
        <v>0</v>
      </c>
      <c r="BT40" s="247">
        <v>0</v>
      </c>
      <c r="BU40" s="169"/>
      <c r="BV40" s="172">
        <v>1</v>
      </c>
      <c r="BW40" s="210">
        <v>1</v>
      </c>
      <c r="BX40" s="210">
        <v>1</v>
      </c>
      <c r="BY40" s="210">
        <v>1</v>
      </c>
      <c r="BZ40" s="210">
        <v>1</v>
      </c>
      <c r="CA40" s="210">
        <v>1</v>
      </c>
      <c r="CB40" s="210">
        <v>1</v>
      </c>
      <c r="CC40" s="210">
        <v>1</v>
      </c>
      <c r="CD40" s="210">
        <v>1</v>
      </c>
      <c r="CE40" s="210">
        <v>1</v>
      </c>
      <c r="CF40" s="210">
        <v>1</v>
      </c>
      <c r="CG40" s="210">
        <v>1</v>
      </c>
      <c r="CH40" s="210">
        <v>1</v>
      </c>
      <c r="CI40" s="211">
        <v>1</v>
      </c>
      <c r="CJ40" s="249">
        <v>1</v>
      </c>
      <c r="CK40" s="250">
        <v>0.90782621381886097</v>
      </c>
      <c r="CL40" s="250">
        <v>1</v>
      </c>
      <c r="CM40" s="250">
        <v>1</v>
      </c>
      <c r="CN40" s="284">
        <v>1</v>
      </c>
      <c r="CO40" s="284">
        <v>1</v>
      </c>
      <c r="CP40" s="284">
        <v>1</v>
      </c>
      <c r="CQ40" s="284">
        <v>1</v>
      </c>
      <c r="CR40" s="284">
        <v>1</v>
      </c>
      <c r="CS40" s="284">
        <v>1</v>
      </c>
      <c r="CT40" s="284">
        <v>1</v>
      </c>
      <c r="CU40" s="284">
        <v>1</v>
      </c>
      <c r="CV40" s="284">
        <v>1</v>
      </c>
      <c r="CW40" s="284">
        <v>1</v>
      </c>
      <c r="CX40" s="249">
        <v>0.98683231625983736</v>
      </c>
      <c r="CY40" s="251">
        <v>1</v>
      </c>
      <c r="CZ40" s="127"/>
      <c r="DA40" s="187">
        <v>1.3167683740162641E-2</v>
      </c>
      <c r="DB40" s="127" t="s">
        <v>195</v>
      </c>
      <c r="DC40" s="91"/>
    </row>
    <row r="41" spans="1:107" x14ac:dyDescent="0.35">
      <c r="A41" s="62" t="s">
        <v>133</v>
      </c>
      <c r="B41" s="46" t="s">
        <v>178</v>
      </c>
      <c r="C41" s="345"/>
      <c r="D41" s="253" t="s">
        <v>134</v>
      </c>
      <c r="E41" s="180" t="s">
        <v>196</v>
      </c>
      <c r="F41" s="285" t="s">
        <v>197</v>
      </c>
      <c r="G41" s="241">
        <v>0.85</v>
      </c>
      <c r="H41" s="176" t="s">
        <v>137</v>
      </c>
      <c r="I41" s="176" t="s">
        <v>198</v>
      </c>
      <c r="J41" s="176" t="s">
        <v>110</v>
      </c>
      <c r="K41" s="177">
        <v>4</v>
      </c>
      <c r="M41" s="244">
        <v>1</v>
      </c>
      <c r="N41" s="119">
        <v>65</v>
      </c>
      <c r="O41" s="120">
        <v>0</v>
      </c>
      <c r="P41" s="120">
        <v>43.75</v>
      </c>
      <c r="Q41" s="120">
        <v>25.8</v>
      </c>
      <c r="R41" s="120">
        <v>13.75</v>
      </c>
      <c r="S41" s="120">
        <v>21.25</v>
      </c>
      <c r="T41" s="120">
        <v>4.8</v>
      </c>
      <c r="U41" s="120">
        <v>3</v>
      </c>
      <c r="V41" s="120">
        <v>0</v>
      </c>
      <c r="W41" s="120">
        <v>0</v>
      </c>
      <c r="X41" s="120">
        <v>0</v>
      </c>
      <c r="Y41" s="120">
        <v>0</v>
      </c>
      <c r="Z41" s="120">
        <v>0</v>
      </c>
      <c r="AA41" s="120">
        <v>0</v>
      </c>
      <c r="AB41" s="165"/>
      <c r="AC41" s="245">
        <v>7.58636788048552E-2</v>
      </c>
      <c r="AD41" s="245">
        <v>0</v>
      </c>
      <c r="AE41" s="245">
        <v>5.1062091503268001E-2</v>
      </c>
      <c r="AF41" s="245">
        <v>3.0112044817927199E-2</v>
      </c>
      <c r="AG41" s="245">
        <v>1.6048085901027079E-2</v>
      </c>
      <c r="AH41" s="245">
        <v>2.48015873015873E-2</v>
      </c>
      <c r="AI41" s="245">
        <v>5.60224089635854E-3</v>
      </c>
      <c r="AJ41" s="245">
        <v>3.5014005602241002E-3</v>
      </c>
      <c r="AK41" s="245">
        <v>0</v>
      </c>
      <c r="AL41" s="245">
        <v>0</v>
      </c>
      <c r="AM41" s="245">
        <v>0</v>
      </c>
      <c r="AN41" s="245">
        <v>5.60224089635854E-3</v>
      </c>
      <c r="AO41" s="245">
        <v>3.5014005602241002E-3</v>
      </c>
      <c r="AP41" s="245">
        <v>0</v>
      </c>
      <c r="AQ41" s="165"/>
      <c r="AR41" s="121">
        <v>7.58636788048552E-2</v>
      </c>
      <c r="AS41" s="121">
        <v>0</v>
      </c>
      <c r="AT41" s="121">
        <v>5.1062091503268001E-2</v>
      </c>
      <c r="AU41" s="121">
        <v>3.0112044817927199E-2</v>
      </c>
      <c r="AV41" s="121">
        <v>1.6048085901027079E-2</v>
      </c>
      <c r="AW41" s="121">
        <v>2.48015873015873E-2</v>
      </c>
      <c r="AX41" s="121">
        <v>5.60224089635854E-3</v>
      </c>
      <c r="AY41" s="121">
        <v>3.5014005602241002E-3</v>
      </c>
      <c r="AZ41" s="121">
        <v>0</v>
      </c>
      <c r="BA41" s="121">
        <v>0</v>
      </c>
      <c r="BB41" s="121">
        <v>0</v>
      </c>
      <c r="BC41" s="121">
        <v>0</v>
      </c>
      <c r="BD41" s="121">
        <v>0</v>
      </c>
      <c r="BE41" s="121">
        <v>0</v>
      </c>
      <c r="BF41" s="153"/>
      <c r="BG41" s="246">
        <v>7.58636788048552E-2</v>
      </c>
      <c r="BH41" s="247">
        <v>0</v>
      </c>
      <c r="BI41" s="247">
        <v>5.1062091503268001E-2</v>
      </c>
      <c r="BJ41" s="247">
        <v>3.0112044817927199E-2</v>
      </c>
      <c r="BK41" s="247">
        <v>1.6048085901027079E-2</v>
      </c>
      <c r="BL41" s="247">
        <v>2.48015873015873E-2</v>
      </c>
      <c r="BM41" s="247">
        <v>5.60224089635854E-3</v>
      </c>
      <c r="BN41" s="247">
        <v>3.7888355645365099E-3</v>
      </c>
      <c r="BO41" s="247">
        <v>2.48015873015873E-2</v>
      </c>
      <c r="BP41" s="247">
        <v>5.60224089635854E-3</v>
      </c>
      <c r="BQ41" s="247">
        <v>3.7888355645365099E-3</v>
      </c>
      <c r="BR41" s="247">
        <v>0</v>
      </c>
      <c r="BS41" s="247">
        <v>0</v>
      </c>
      <c r="BT41" s="247">
        <v>0</v>
      </c>
      <c r="BU41" s="169"/>
      <c r="BV41" s="172">
        <v>1</v>
      </c>
      <c r="BW41" s="210">
        <v>1</v>
      </c>
      <c r="BX41" s="210">
        <v>1</v>
      </c>
      <c r="BY41" s="210">
        <v>1</v>
      </c>
      <c r="BZ41" s="210">
        <v>1</v>
      </c>
      <c r="CA41" s="210">
        <v>1</v>
      </c>
      <c r="CB41" s="210">
        <v>1</v>
      </c>
      <c r="CC41" s="210">
        <v>1</v>
      </c>
      <c r="CD41" s="210">
        <v>1</v>
      </c>
      <c r="CE41" s="210">
        <v>1</v>
      </c>
      <c r="CF41" s="210">
        <v>1</v>
      </c>
      <c r="CG41" s="210">
        <v>1</v>
      </c>
      <c r="CH41" s="210">
        <v>1</v>
      </c>
      <c r="CI41" s="211">
        <v>1</v>
      </c>
      <c r="CJ41" s="249">
        <v>0.92413632119514477</v>
      </c>
      <c r="CK41" s="250">
        <v>1</v>
      </c>
      <c r="CL41" s="250">
        <v>0.94893790849673199</v>
      </c>
      <c r="CM41" s="250">
        <v>0.96988795518207283</v>
      </c>
      <c r="CN41" s="284">
        <v>0.98395191409897298</v>
      </c>
      <c r="CO41" s="284">
        <v>0.97519841269841268</v>
      </c>
      <c r="CP41" s="284">
        <v>0.99439775910364148</v>
      </c>
      <c r="CQ41" s="284">
        <v>0.99649859943977592</v>
      </c>
      <c r="CR41" s="284">
        <v>1</v>
      </c>
      <c r="CS41" s="284">
        <v>1</v>
      </c>
      <c r="CT41" s="284">
        <v>1</v>
      </c>
      <c r="CU41" s="284">
        <v>0.99439775910364148</v>
      </c>
      <c r="CV41" s="284">
        <v>0.99649859943977592</v>
      </c>
      <c r="CW41" s="284">
        <v>1</v>
      </c>
      <c r="CX41" s="249">
        <v>0.97093003868213956</v>
      </c>
      <c r="CY41" s="251">
        <v>1</v>
      </c>
      <c r="CZ41" s="127"/>
      <c r="DA41" s="187">
        <v>2.9069961317860441E-2</v>
      </c>
      <c r="DB41" s="127" t="s">
        <v>199</v>
      </c>
      <c r="DC41" s="91"/>
    </row>
    <row r="42" spans="1:107" x14ac:dyDescent="0.35">
      <c r="A42" s="62" t="s">
        <v>200</v>
      </c>
      <c r="B42" s="46" t="s">
        <v>178</v>
      </c>
      <c r="C42" s="345"/>
      <c r="D42" s="253" t="s">
        <v>201</v>
      </c>
      <c r="E42" s="180" t="s">
        <v>202</v>
      </c>
      <c r="F42" s="283"/>
      <c r="G42" s="241">
        <v>0.85</v>
      </c>
      <c r="H42" s="176" t="s">
        <v>108</v>
      </c>
      <c r="I42" s="176" t="s">
        <v>185</v>
      </c>
      <c r="J42" s="176" t="s">
        <v>110</v>
      </c>
      <c r="K42" s="177">
        <v>2</v>
      </c>
      <c r="M42" s="244">
        <v>2</v>
      </c>
      <c r="N42" s="119">
        <v>13.4</v>
      </c>
      <c r="O42" s="120">
        <v>5</v>
      </c>
      <c r="P42" s="120">
        <v>10</v>
      </c>
      <c r="Q42" s="120">
        <v>17</v>
      </c>
      <c r="R42" s="120">
        <v>12.5</v>
      </c>
      <c r="S42" s="120">
        <v>7</v>
      </c>
      <c r="T42" s="120">
        <v>6.8</v>
      </c>
      <c r="U42" s="120">
        <v>6.75</v>
      </c>
      <c r="V42" s="120">
        <v>4</v>
      </c>
      <c r="W42" s="120">
        <v>4</v>
      </c>
      <c r="X42" s="120">
        <v>3</v>
      </c>
      <c r="Y42" s="120">
        <v>4</v>
      </c>
      <c r="Z42" s="120">
        <v>4</v>
      </c>
      <c r="AA42" s="120">
        <v>4</v>
      </c>
      <c r="AB42" s="165"/>
      <c r="AC42" s="245">
        <v>0.14729225023342671</v>
      </c>
      <c r="AD42" s="245">
        <v>1.7507002801120451E-3</v>
      </c>
      <c r="AE42" s="245">
        <v>3.5014005602241002E-3</v>
      </c>
      <c r="AF42" s="245">
        <v>0.39565826330532211</v>
      </c>
      <c r="AG42" s="245">
        <v>0.14355742296918761</v>
      </c>
      <c r="AH42" s="245">
        <v>0.1697012138188608</v>
      </c>
      <c r="AI42" s="245">
        <v>4.7268907563025257E-2</v>
      </c>
      <c r="AJ42" s="245">
        <v>0.1556956115779646</v>
      </c>
      <c r="AK42" s="245">
        <v>1.633986928104575E-3</v>
      </c>
      <c r="AL42" s="245">
        <v>1.6339869281045761E-3</v>
      </c>
      <c r="AM42" s="245">
        <v>1.633986928104575E-3</v>
      </c>
      <c r="AN42" s="245">
        <v>4.7268907563025257E-2</v>
      </c>
      <c r="AO42" s="245">
        <v>0.1556956115779646</v>
      </c>
      <c r="AP42" s="245">
        <v>1.633986928104575E-3</v>
      </c>
      <c r="AQ42" s="165"/>
      <c r="AR42" s="121">
        <v>0.14729225023342671</v>
      </c>
      <c r="AS42" s="121">
        <v>1.7507002801120451E-3</v>
      </c>
      <c r="AT42" s="121">
        <v>3.5014005602241002E-3</v>
      </c>
      <c r="AU42" s="121">
        <v>0.39565826330532211</v>
      </c>
      <c r="AV42" s="121">
        <v>0.14355742296918761</v>
      </c>
      <c r="AW42" s="121">
        <v>0.1697012138188608</v>
      </c>
      <c r="AX42" s="121">
        <v>4.7268907563025257E-2</v>
      </c>
      <c r="AY42" s="121">
        <v>0.1556956115779646</v>
      </c>
      <c r="AZ42" s="121">
        <v>1.633986928104575E-3</v>
      </c>
      <c r="BA42" s="121">
        <v>1.6339869281045761E-3</v>
      </c>
      <c r="BB42" s="121">
        <v>1.0504201680672271E-3</v>
      </c>
      <c r="BC42" s="121">
        <v>1.400560224089635E-3</v>
      </c>
      <c r="BD42" s="121">
        <v>1.4005602240896361E-3</v>
      </c>
      <c r="BE42" s="121">
        <v>1.400560224089635E-3</v>
      </c>
      <c r="BF42" s="153"/>
      <c r="BG42" s="246">
        <v>7.364612511671334E-2</v>
      </c>
      <c r="BH42" s="247">
        <v>8.7535014005602255E-4</v>
      </c>
      <c r="BI42" s="247">
        <v>1.7507002801120501E-3</v>
      </c>
      <c r="BJ42" s="247">
        <v>0.197829131652661</v>
      </c>
      <c r="BK42" s="247">
        <v>7.1778711484593805E-2</v>
      </c>
      <c r="BL42" s="247">
        <v>8.4850606909430415E-2</v>
      </c>
      <c r="BM42" s="247">
        <v>2.3634453781512629E-2</v>
      </c>
      <c r="BN42" s="247">
        <v>8.4036789719037441E-2</v>
      </c>
      <c r="BO42" s="247">
        <v>8.4850606909430415E-2</v>
      </c>
      <c r="BP42" s="247">
        <v>2.3634453781512629E-2</v>
      </c>
      <c r="BQ42" s="247">
        <v>8.4036789719037441E-2</v>
      </c>
      <c r="BR42" s="247">
        <v>8.1770924595525954E-4</v>
      </c>
      <c r="BS42" s="247">
        <v>8.1842628317549437E-4</v>
      </c>
      <c r="BT42" s="247">
        <v>1.018478102720791E-3</v>
      </c>
      <c r="BU42" s="169"/>
      <c r="BV42" s="172">
        <v>2</v>
      </c>
      <c r="BW42" s="210">
        <v>2</v>
      </c>
      <c r="BX42" s="210">
        <v>2</v>
      </c>
      <c r="BY42" s="210">
        <v>2</v>
      </c>
      <c r="BZ42" s="210">
        <v>2</v>
      </c>
      <c r="CA42" s="210">
        <v>2</v>
      </c>
      <c r="CB42" s="210">
        <v>2</v>
      </c>
      <c r="CC42" s="210">
        <v>2</v>
      </c>
      <c r="CD42" s="210">
        <v>2</v>
      </c>
      <c r="CE42" s="210">
        <v>2</v>
      </c>
      <c r="CF42" s="210">
        <v>2</v>
      </c>
      <c r="CG42" s="210">
        <v>2</v>
      </c>
      <c r="CH42" s="210">
        <v>2</v>
      </c>
      <c r="CI42" s="211">
        <v>2</v>
      </c>
      <c r="CJ42" s="249">
        <v>1.8527077497665729</v>
      </c>
      <c r="CK42" s="250">
        <v>1.998249299719888</v>
      </c>
      <c r="CL42" s="250">
        <v>1.9964985994397759</v>
      </c>
      <c r="CM42" s="250">
        <v>1.6043417366946779</v>
      </c>
      <c r="CN42" s="284">
        <v>1.8564425770308119</v>
      </c>
      <c r="CO42" s="284">
        <v>1.8302987861811391</v>
      </c>
      <c r="CP42" s="284">
        <v>1.952731092436975</v>
      </c>
      <c r="CQ42" s="284">
        <v>1.8443043884220349</v>
      </c>
      <c r="CR42" s="284">
        <v>1.998366013071895</v>
      </c>
      <c r="CS42" s="284">
        <v>1.998366013071895</v>
      </c>
      <c r="CT42" s="284">
        <v>1.998366013071895</v>
      </c>
      <c r="CU42" s="284">
        <v>1.952731092436975</v>
      </c>
      <c r="CV42" s="284">
        <v>1.8443043884220349</v>
      </c>
      <c r="CW42" s="284">
        <v>1.998366013071895</v>
      </c>
      <c r="CX42" s="249">
        <v>1.870181405895692</v>
      </c>
      <c r="CY42" s="251">
        <v>1.998249299719888</v>
      </c>
      <c r="CZ42" s="127"/>
      <c r="DA42" s="187">
        <v>6.4909297052154202E-2</v>
      </c>
      <c r="DB42" s="127" t="s">
        <v>203</v>
      </c>
      <c r="DC42" s="91"/>
    </row>
    <row r="43" spans="1:107" x14ac:dyDescent="0.35">
      <c r="A43" s="62" t="s">
        <v>204</v>
      </c>
      <c r="B43" s="46" t="s">
        <v>178</v>
      </c>
      <c r="C43" s="345"/>
      <c r="D43" s="253" t="s">
        <v>205</v>
      </c>
      <c r="E43" s="180" t="s">
        <v>206</v>
      </c>
      <c r="F43" s="283"/>
      <c r="G43" s="241">
        <v>0.85</v>
      </c>
      <c r="H43" s="286" t="s">
        <v>114</v>
      </c>
      <c r="I43" s="286" t="s">
        <v>207</v>
      </c>
      <c r="J43" s="286" t="s">
        <v>110</v>
      </c>
      <c r="K43" s="287">
        <v>2</v>
      </c>
      <c r="M43" s="244">
        <v>2</v>
      </c>
      <c r="N43" s="119">
        <v>10.8</v>
      </c>
      <c r="O43" s="120">
        <v>27</v>
      </c>
      <c r="P43" s="120">
        <v>22.75</v>
      </c>
      <c r="Q43" s="120">
        <v>11.8</v>
      </c>
      <c r="R43" s="120">
        <v>17.75</v>
      </c>
      <c r="S43" s="120">
        <v>16.5</v>
      </c>
      <c r="T43" s="120">
        <v>13.2</v>
      </c>
      <c r="U43" s="120">
        <v>15.5</v>
      </c>
      <c r="V43" s="120">
        <v>14.5</v>
      </c>
      <c r="W43" s="120">
        <v>11.4</v>
      </c>
      <c r="X43" s="120">
        <v>13.5</v>
      </c>
      <c r="Y43" s="120">
        <v>10.25</v>
      </c>
      <c r="Z43" s="120">
        <v>0</v>
      </c>
      <c r="AA43" s="120">
        <v>0</v>
      </c>
      <c r="AB43" s="165"/>
      <c r="AC43" s="245">
        <v>9.8004201680672212E-2</v>
      </c>
      <c r="AD43" s="245">
        <v>0.2450105042016808</v>
      </c>
      <c r="AE43" s="245">
        <v>0.20644403594771249</v>
      </c>
      <c r="AF43" s="245">
        <v>0.107078664799253</v>
      </c>
      <c r="AG43" s="245">
        <v>0.16107172035480849</v>
      </c>
      <c r="AH43" s="245">
        <v>0.14972864145658249</v>
      </c>
      <c r="AI43" s="245">
        <v>0.119782913165266</v>
      </c>
      <c r="AJ43" s="245">
        <v>0.14065417833800201</v>
      </c>
      <c r="AK43" s="245">
        <v>0.131579715219421</v>
      </c>
      <c r="AL43" s="245">
        <v>0.1034488795518208</v>
      </c>
      <c r="AM43" s="245">
        <v>0.131579715219421</v>
      </c>
      <c r="AN43" s="245">
        <v>0.119782913165266</v>
      </c>
      <c r="AO43" s="245">
        <v>0.14065417833800201</v>
      </c>
      <c r="AP43" s="245">
        <v>0.131579715219421</v>
      </c>
      <c r="AQ43" s="165"/>
      <c r="AR43" s="121">
        <v>9.8004201680672212E-2</v>
      </c>
      <c r="AS43" s="121">
        <v>0.2450105042016808</v>
      </c>
      <c r="AT43" s="121">
        <v>0.20644403594771249</v>
      </c>
      <c r="AU43" s="121">
        <v>0.107078664799253</v>
      </c>
      <c r="AV43" s="121">
        <v>0.16107172035480849</v>
      </c>
      <c r="AW43" s="121">
        <v>0.14972864145658249</v>
      </c>
      <c r="AX43" s="121">
        <v>0.119782913165266</v>
      </c>
      <c r="AY43" s="121">
        <v>0.14065417833800201</v>
      </c>
      <c r="AZ43" s="121">
        <v>0.131579715219421</v>
      </c>
      <c r="BA43" s="121">
        <v>0.1034488795518208</v>
      </c>
      <c r="BB43" s="121">
        <v>0.1225052521008403</v>
      </c>
      <c r="BC43" s="121">
        <v>9.3013246965452753E-2</v>
      </c>
      <c r="BD43" s="121">
        <v>0</v>
      </c>
      <c r="BE43" s="121">
        <v>0</v>
      </c>
      <c r="BF43" s="153"/>
      <c r="BG43" s="246">
        <v>4.9002100840336113E-2</v>
      </c>
      <c r="BH43" s="247">
        <v>0.1225052521008404</v>
      </c>
      <c r="BI43" s="247">
        <v>0.1032220179738562</v>
      </c>
      <c r="BJ43" s="247">
        <v>5.3539332399626507E-2</v>
      </c>
      <c r="BK43" s="247">
        <v>8.0535860177404259E-2</v>
      </c>
      <c r="BL43" s="247">
        <v>7.4864320728291245E-2</v>
      </c>
      <c r="BM43" s="247">
        <v>5.9891456582632993E-2</v>
      </c>
      <c r="BN43" s="247">
        <v>7.3950835465719275E-2</v>
      </c>
      <c r="BO43" s="247">
        <v>7.4864320728291245E-2</v>
      </c>
      <c r="BP43" s="247">
        <v>5.9891456582632993E-2</v>
      </c>
      <c r="BQ43" s="247">
        <v>7.3950835465719275E-2</v>
      </c>
      <c r="BR43" s="247">
        <v>7.4974645451975949E-2</v>
      </c>
      <c r="BS43" s="247">
        <v>5.7678088459583172E-2</v>
      </c>
      <c r="BT43" s="247">
        <v>6.9511454476509874E-2</v>
      </c>
      <c r="BU43" s="169"/>
      <c r="BV43" s="172">
        <v>2</v>
      </c>
      <c r="BW43" s="210">
        <v>2</v>
      </c>
      <c r="BX43" s="210">
        <v>2</v>
      </c>
      <c r="BY43" s="210">
        <v>2</v>
      </c>
      <c r="BZ43" s="210">
        <v>2</v>
      </c>
      <c r="CA43" s="210">
        <v>2</v>
      </c>
      <c r="CB43" s="210">
        <v>2</v>
      </c>
      <c r="CC43" s="210">
        <v>2</v>
      </c>
      <c r="CD43" s="210">
        <v>2</v>
      </c>
      <c r="CE43" s="210">
        <v>2</v>
      </c>
      <c r="CF43" s="210">
        <v>2</v>
      </c>
      <c r="CG43" s="210">
        <v>2</v>
      </c>
      <c r="CH43" s="210">
        <v>2</v>
      </c>
      <c r="CI43" s="211">
        <v>2</v>
      </c>
      <c r="CJ43" s="249">
        <v>1.9019957983193281</v>
      </c>
      <c r="CK43" s="250">
        <v>1.754989495798319</v>
      </c>
      <c r="CL43" s="250">
        <v>1.793555964052288</v>
      </c>
      <c r="CM43" s="250">
        <v>1.892921335200747</v>
      </c>
      <c r="CN43" s="284">
        <v>1.838928279645192</v>
      </c>
      <c r="CO43" s="284">
        <v>1.850271358543417</v>
      </c>
      <c r="CP43" s="284">
        <v>1.8802170868347341</v>
      </c>
      <c r="CQ43" s="284">
        <v>1.859345821661998</v>
      </c>
      <c r="CR43" s="284">
        <v>1.8684202847805791</v>
      </c>
      <c r="CS43" s="284">
        <v>1.8965511204481791</v>
      </c>
      <c r="CT43" s="284">
        <v>1.8684202847805791</v>
      </c>
      <c r="CU43" s="284">
        <v>1.8802170868347341</v>
      </c>
      <c r="CV43" s="284">
        <v>1.859345821661998</v>
      </c>
      <c r="CW43" s="284">
        <v>1.8684202847805791</v>
      </c>
      <c r="CX43" s="249">
        <v>1.8446970454848599</v>
      </c>
      <c r="CY43" s="251">
        <v>1.9019957983193281</v>
      </c>
      <c r="CZ43" s="127"/>
      <c r="DA43" s="187">
        <v>7.7651477257569823E-2</v>
      </c>
      <c r="DB43" s="127" t="s">
        <v>208</v>
      </c>
      <c r="DC43" s="91"/>
    </row>
    <row r="44" spans="1:107" x14ac:dyDescent="0.35">
      <c r="A44" s="62" t="s">
        <v>204</v>
      </c>
      <c r="B44" s="46" t="s">
        <v>178</v>
      </c>
      <c r="C44" s="345"/>
      <c r="D44" s="253" t="s">
        <v>209</v>
      </c>
      <c r="E44" s="180" t="s">
        <v>55</v>
      </c>
      <c r="F44" s="283"/>
      <c r="G44" s="241">
        <v>0.85</v>
      </c>
      <c r="H44" s="286" t="s">
        <v>108</v>
      </c>
      <c r="I44" s="286" t="s">
        <v>109</v>
      </c>
      <c r="J44" s="286" t="s">
        <v>110</v>
      </c>
      <c r="K44" s="287">
        <v>0</v>
      </c>
      <c r="M44" s="244">
        <v>1</v>
      </c>
      <c r="N44" s="119">
        <v>38.4</v>
      </c>
      <c r="O44" s="120">
        <v>47.5</v>
      </c>
      <c r="P44" s="120">
        <v>57.75</v>
      </c>
      <c r="Q44" s="120">
        <v>67.8</v>
      </c>
      <c r="R44" s="120">
        <v>68.5</v>
      </c>
      <c r="S44" s="120">
        <v>61</v>
      </c>
      <c r="T44" s="120">
        <v>53.2</v>
      </c>
      <c r="U44" s="120">
        <v>50.5</v>
      </c>
      <c r="V44" s="120">
        <v>50</v>
      </c>
      <c r="W44" s="120">
        <v>50.2</v>
      </c>
      <c r="X44" s="120">
        <v>50.75</v>
      </c>
      <c r="Y44" s="120">
        <v>54.75</v>
      </c>
      <c r="Z44" s="120">
        <v>71.2</v>
      </c>
      <c r="AA44" s="120">
        <v>75.75</v>
      </c>
      <c r="AB44" s="165"/>
      <c r="AC44" s="245">
        <v>0.1555594460006226</v>
      </c>
      <c r="AD44" s="245">
        <v>0.12176606753812649</v>
      </c>
      <c r="AE44" s="245">
        <v>0.12791783380018679</v>
      </c>
      <c r="AF44" s="245">
        <v>0.3443387301100988</v>
      </c>
      <c r="AG44" s="245">
        <v>0.35641976321778718</v>
      </c>
      <c r="AH44" s="245">
        <v>0.34662556776182701</v>
      </c>
      <c r="AI44" s="245">
        <v>0.3649281665791308</v>
      </c>
      <c r="AJ44" s="245">
        <v>0.33120967918417349</v>
      </c>
      <c r="AK44" s="245">
        <v>0.32053040747549022</v>
      </c>
      <c r="AL44" s="245">
        <v>0.3088357296043418</v>
      </c>
      <c r="AM44" s="245">
        <v>0.32053040747549022</v>
      </c>
      <c r="AN44" s="245">
        <v>0.3649281665791308</v>
      </c>
      <c r="AO44" s="245">
        <v>0.33120967918417349</v>
      </c>
      <c r="AP44" s="245">
        <v>0.32053040747549022</v>
      </c>
      <c r="AQ44" s="165"/>
      <c r="AR44" s="121">
        <v>0.117114067849362</v>
      </c>
      <c r="AS44" s="121">
        <v>0.12176606753812649</v>
      </c>
      <c r="AT44" s="121">
        <v>0.12791783380018679</v>
      </c>
      <c r="AU44" s="121">
        <v>0.3443387301100988</v>
      </c>
      <c r="AV44" s="121">
        <v>0.35641976321778718</v>
      </c>
      <c r="AW44" s="121">
        <v>0.34662556776182701</v>
      </c>
      <c r="AX44" s="121">
        <v>0.40764525341386459</v>
      </c>
      <c r="AY44" s="121">
        <v>0.35790785845588219</v>
      </c>
      <c r="AZ44" s="121">
        <v>0.34188895089285731</v>
      </c>
      <c r="BA44" s="121">
        <v>0.33019427302170878</v>
      </c>
      <c r="BB44" s="121">
        <v>0.30302340467436978</v>
      </c>
      <c r="BC44" s="121">
        <v>0.30862564557072819</v>
      </c>
      <c r="BD44" s="121">
        <v>0.31142676601890779</v>
      </c>
      <c r="BE44" s="121">
        <v>0.2368469340861345</v>
      </c>
      <c r="BF44" s="153"/>
      <c r="BG44" s="246">
        <v>0.1555594460006226</v>
      </c>
      <c r="BH44" s="247">
        <v>0.12176606753812649</v>
      </c>
      <c r="BI44" s="247">
        <v>0.12791783380018679</v>
      </c>
      <c r="BJ44" s="247">
        <v>0.3443387301100988</v>
      </c>
      <c r="BK44" s="247">
        <v>0.35641976321778718</v>
      </c>
      <c r="BL44" s="247">
        <v>0.34662556776182701</v>
      </c>
      <c r="BM44" s="247">
        <v>0.3649281665791308</v>
      </c>
      <c r="BN44" s="247">
        <v>0.39222379552417591</v>
      </c>
      <c r="BO44" s="247">
        <v>0.34662556776182701</v>
      </c>
      <c r="BP44" s="247">
        <v>0.3649281665791308</v>
      </c>
      <c r="BQ44" s="247">
        <v>0.39222379552417591</v>
      </c>
      <c r="BR44" s="247">
        <v>0.36497155897515421</v>
      </c>
      <c r="BS44" s="247">
        <v>0.35413604540283727</v>
      </c>
      <c r="BT44" s="247">
        <v>0.48886585527510851</v>
      </c>
      <c r="BU44" s="169"/>
      <c r="BV44" s="172">
        <v>1</v>
      </c>
      <c r="BW44" s="210">
        <v>1</v>
      </c>
      <c r="BX44" s="210">
        <v>1</v>
      </c>
      <c r="BY44" s="210">
        <v>1</v>
      </c>
      <c r="BZ44" s="210">
        <v>1</v>
      </c>
      <c r="CA44" s="210">
        <v>1</v>
      </c>
      <c r="CB44" s="210">
        <v>1</v>
      </c>
      <c r="CC44" s="210">
        <v>1</v>
      </c>
      <c r="CD44" s="210">
        <v>1</v>
      </c>
      <c r="CE44" s="210">
        <v>1</v>
      </c>
      <c r="CF44" s="210">
        <v>1</v>
      </c>
      <c r="CG44" s="210">
        <v>1</v>
      </c>
      <c r="CH44" s="210">
        <v>1</v>
      </c>
      <c r="CI44" s="211">
        <v>1</v>
      </c>
      <c r="CJ44" s="249">
        <v>0.84444055399937734</v>
      </c>
      <c r="CK44" s="250">
        <v>0.87823393246187353</v>
      </c>
      <c r="CL44" s="250">
        <v>0.87208216619981327</v>
      </c>
      <c r="CM44" s="250">
        <v>0.65566126988990114</v>
      </c>
      <c r="CN44" s="284">
        <v>0.64358023678221277</v>
      </c>
      <c r="CO44" s="284">
        <v>0.65337443223817293</v>
      </c>
      <c r="CP44" s="284">
        <v>0.63507183342086915</v>
      </c>
      <c r="CQ44" s="284">
        <v>0.66879032081582646</v>
      </c>
      <c r="CR44" s="284">
        <v>0.67946959252450978</v>
      </c>
      <c r="CS44" s="284">
        <v>0.6911642703956582</v>
      </c>
      <c r="CT44" s="284">
        <v>0.67946959252450978</v>
      </c>
      <c r="CU44" s="284">
        <v>0.63507183342086915</v>
      </c>
      <c r="CV44" s="284">
        <v>0.66879032081582646</v>
      </c>
      <c r="CW44" s="284">
        <v>0.67946959252450978</v>
      </c>
      <c r="CX44" s="249">
        <v>0.74034920357031708</v>
      </c>
      <c r="CY44" s="251">
        <v>0.87823393246187353</v>
      </c>
      <c r="CZ44" s="127"/>
      <c r="DA44" s="187">
        <v>0.25965079642968292</v>
      </c>
      <c r="DB44" s="127" t="s">
        <v>210</v>
      </c>
      <c r="DC44" s="91"/>
    </row>
    <row r="45" spans="1:107" x14ac:dyDescent="0.35">
      <c r="A45" s="62" t="s">
        <v>54</v>
      </c>
      <c r="B45" s="46" t="s">
        <v>178</v>
      </c>
      <c r="C45" s="345"/>
      <c r="D45" s="253" t="s">
        <v>54</v>
      </c>
      <c r="E45" s="180" t="s">
        <v>55</v>
      </c>
      <c r="F45" s="285" t="s">
        <v>211</v>
      </c>
      <c r="G45" s="241">
        <v>0.85</v>
      </c>
      <c r="H45" s="286" t="s">
        <v>108</v>
      </c>
      <c r="I45" s="286" t="s">
        <v>185</v>
      </c>
      <c r="J45" s="286" t="s">
        <v>139</v>
      </c>
      <c r="K45" s="287">
        <v>13</v>
      </c>
      <c r="M45" s="244">
        <v>13</v>
      </c>
      <c r="N45" s="119">
        <v>1150</v>
      </c>
      <c r="O45" s="120">
        <v>1418.25</v>
      </c>
      <c r="P45" s="120">
        <v>1614.75</v>
      </c>
      <c r="Q45" s="120">
        <v>1390</v>
      </c>
      <c r="R45" s="120">
        <v>1205.25</v>
      </c>
      <c r="S45" s="120">
        <v>1085.75</v>
      </c>
      <c r="T45" s="120">
        <v>1002</v>
      </c>
      <c r="U45" s="120">
        <v>761.25</v>
      </c>
      <c r="V45" s="120">
        <v>993.75</v>
      </c>
      <c r="W45" s="120">
        <v>976.8</v>
      </c>
      <c r="X45" s="120">
        <v>961.75</v>
      </c>
      <c r="Y45" s="120">
        <v>944.25</v>
      </c>
      <c r="Z45" s="120">
        <v>1009.2</v>
      </c>
      <c r="AA45" s="120">
        <v>1052.75</v>
      </c>
      <c r="AB45" s="165"/>
      <c r="AC45" s="245">
        <v>10.35671378039355</v>
      </c>
      <c r="AD45" s="245">
        <v>13.093801042967121</v>
      </c>
      <c r="AE45" s="245">
        <v>14.83578544479589</v>
      </c>
      <c r="AF45" s="245">
        <v>11.946590757089361</v>
      </c>
      <c r="AG45" s="245">
        <v>11.38248258534062</v>
      </c>
      <c r="AH45" s="245">
        <v>10.416133978950519</v>
      </c>
      <c r="AI45" s="245">
        <v>9.939213476898356</v>
      </c>
      <c r="AJ45" s="245">
        <v>7.5492400906958004</v>
      </c>
      <c r="AK45" s="245">
        <v>10.02074473000358</v>
      </c>
      <c r="AL45" s="245">
        <v>9.9370262174737292</v>
      </c>
      <c r="AM45" s="245">
        <v>10.02074473000358</v>
      </c>
      <c r="AN45" s="245">
        <v>9.939213476898356</v>
      </c>
      <c r="AO45" s="245">
        <v>7.5492400906958004</v>
      </c>
      <c r="AP45" s="245">
        <v>10.02074473000358</v>
      </c>
      <c r="AQ45" s="165"/>
      <c r="AR45" s="121">
        <v>10.344571670740709</v>
      </c>
      <c r="AS45" s="121">
        <v>13.08058867624767</v>
      </c>
      <c r="AT45" s="121">
        <v>13.88401013417227</v>
      </c>
      <c r="AU45" s="121">
        <v>12.01536267909162</v>
      </c>
      <c r="AV45" s="121">
        <v>11.380550476666951</v>
      </c>
      <c r="AW45" s="121">
        <v>10.391833996785341</v>
      </c>
      <c r="AX45" s="121">
        <v>10.05512504751912</v>
      </c>
      <c r="AY45" s="121">
        <v>7.6756277665526502</v>
      </c>
      <c r="AZ45" s="121">
        <v>10.182991566940609</v>
      </c>
      <c r="BA45" s="121">
        <v>10.111807609431271</v>
      </c>
      <c r="BB45" s="121">
        <v>9.972240961298855</v>
      </c>
      <c r="BC45" s="121">
        <v>9.1291119943345045</v>
      </c>
      <c r="BD45" s="121">
        <v>9.5165064102564045</v>
      </c>
      <c r="BE45" s="121">
        <v>9.8841327819661498</v>
      </c>
      <c r="BF45" s="153"/>
      <c r="BG45" s="246">
        <v>0.7966702907995038</v>
      </c>
      <c r="BH45" s="247">
        <v>1.007215464843624</v>
      </c>
      <c r="BI45" s="247">
        <v>1.1412142649842989</v>
      </c>
      <c r="BJ45" s="247">
        <v>0.91896851977610439</v>
      </c>
      <c r="BK45" s="247">
        <v>0.87557558348774012</v>
      </c>
      <c r="BL45" s="247">
        <v>0.80124107530388611</v>
      </c>
      <c r="BM45" s="247">
        <v>0.76455488283833506</v>
      </c>
      <c r="BN45" s="247">
        <v>2.8560055413975491</v>
      </c>
      <c r="BO45" s="247">
        <v>0.80124107530388611</v>
      </c>
      <c r="BP45" s="247">
        <v>0.76455488283833506</v>
      </c>
      <c r="BQ45" s="247">
        <v>2.8560055413975491</v>
      </c>
      <c r="BR45" s="247">
        <v>-106.8297794249076</v>
      </c>
      <c r="BS45" s="247">
        <v>-5.4129562066435088</v>
      </c>
      <c r="BT45" s="247">
        <v>9.5126797087099479</v>
      </c>
      <c r="BU45" s="169"/>
      <c r="BV45" s="172">
        <v>13</v>
      </c>
      <c r="BW45" s="210">
        <v>13</v>
      </c>
      <c r="BX45" s="210">
        <v>13</v>
      </c>
      <c r="BY45" s="210">
        <v>13</v>
      </c>
      <c r="BZ45" s="210">
        <v>13</v>
      </c>
      <c r="CA45" s="210">
        <v>13</v>
      </c>
      <c r="CB45" s="210">
        <v>13</v>
      </c>
      <c r="CC45" s="210">
        <v>13</v>
      </c>
      <c r="CD45" s="210">
        <v>13</v>
      </c>
      <c r="CE45" s="210">
        <v>13</v>
      </c>
      <c r="CF45" s="210">
        <v>13</v>
      </c>
      <c r="CG45" s="210">
        <v>13</v>
      </c>
      <c r="CH45" s="210">
        <v>13</v>
      </c>
      <c r="CI45" s="211">
        <v>13</v>
      </c>
      <c r="CJ45" s="249">
        <v>2.6432862196064502</v>
      </c>
      <c r="CK45" s="250">
        <v>-9.3801042967118775E-2</v>
      </c>
      <c r="CL45" s="250">
        <v>-1.8357854447958899</v>
      </c>
      <c r="CM45" s="250">
        <v>1.053409242910643</v>
      </c>
      <c r="CN45" s="284">
        <v>1.617517414659378</v>
      </c>
      <c r="CO45" s="284">
        <v>2.5838660210494808</v>
      </c>
      <c r="CP45" s="284">
        <v>3.060786523101644</v>
      </c>
      <c r="CQ45" s="284">
        <v>5.4507599093041996</v>
      </c>
      <c r="CR45" s="284">
        <v>2.9792552699964179</v>
      </c>
      <c r="CS45" s="284">
        <v>3.0629737825262708</v>
      </c>
      <c r="CT45" s="284">
        <v>2.9792552699964179</v>
      </c>
      <c r="CU45" s="284">
        <v>3.060786523101644</v>
      </c>
      <c r="CV45" s="284">
        <v>5.4507599093041996</v>
      </c>
      <c r="CW45" s="284">
        <v>2.9792552699964179</v>
      </c>
      <c r="CX45" s="249">
        <v>1.289896990509227</v>
      </c>
      <c r="CY45" s="251">
        <v>3.060786523101644</v>
      </c>
      <c r="CZ45" s="127"/>
      <c r="DA45" s="187">
        <v>0.90077715457621332</v>
      </c>
      <c r="DB45" s="127" t="s">
        <v>212</v>
      </c>
    </row>
    <row r="46" spans="1:107" x14ac:dyDescent="0.35">
      <c r="A46" s="62" t="s">
        <v>213</v>
      </c>
      <c r="B46" s="46" t="s">
        <v>178</v>
      </c>
      <c r="C46" s="345"/>
      <c r="D46" s="253" t="s">
        <v>213</v>
      </c>
      <c r="E46" s="180" t="s">
        <v>55</v>
      </c>
      <c r="F46" s="285" t="s">
        <v>211</v>
      </c>
      <c r="G46" s="241">
        <v>1.85</v>
      </c>
      <c r="H46" s="286" t="s">
        <v>108</v>
      </c>
      <c r="I46" s="286" t="s">
        <v>214</v>
      </c>
      <c r="J46" s="286" t="s">
        <v>215</v>
      </c>
      <c r="K46" s="287">
        <v>14</v>
      </c>
      <c r="M46" s="244">
        <v>2</v>
      </c>
      <c r="N46" s="119">
        <v>2.6</v>
      </c>
      <c r="O46" s="120">
        <v>1</v>
      </c>
      <c r="P46" s="120">
        <v>4</v>
      </c>
      <c r="Q46" s="120">
        <v>2</v>
      </c>
      <c r="R46" s="120">
        <v>4</v>
      </c>
      <c r="S46" s="120">
        <v>4</v>
      </c>
      <c r="T46" s="120">
        <v>3</v>
      </c>
      <c r="U46" s="120">
        <v>8.25</v>
      </c>
      <c r="V46" s="120">
        <v>10.25</v>
      </c>
      <c r="W46" s="120">
        <v>11.6</v>
      </c>
      <c r="X46" s="120">
        <v>15.75</v>
      </c>
      <c r="Y46" s="120">
        <v>16.75</v>
      </c>
      <c r="Z46" s="120">
        <v>16</v>
      </c>
      <c r="AA46" s="120">
        <v>16</v>
      </c>
      <c r="AB46" s="165"/>
      <c r="AC46" s="245">
        <v>1.820728291316526E-2</v>
      </c>
      <c r="AD46" s="245">
        <v>9.6605433684085491E-3</v>
      </c>
      <c r="AE46" s="245">
        <v>3.3326688977713501E-2</v>
      </c>
      <c r="AF46" s="245">
        <v>1.6663344488856719E-2</v>
      </c>
      <c r="AG46" s="245">
        <v>3.0668946729753E-2</v>
      </c>
      <c r="AH46" s="245">
        <v>3.5984431225673748E-2</v>
      </c>
      <c r="AI46" s="245">
        <v>2.3666145609304801E-2</v>
      </c>
      <c r="AJ46" s="245">
        <v>6.5746335987578508E-2</v>
      </c>
      <c r="AK46" s="245">
        <v>8.0416373790464998E-2</v>
      </c>
      <c r="AL46" s="245">
        <v>8.6918662596124602E-2</v>
      </c>
      <c r="AM46" s="245">
        <v>8.0416373790464998E-2</v>
      </c>
      <c r="AN46" s="245">
        <v>2.3666145609304801E-2</v>
      </c>
      <c r="AO46" s="245">
        <v>6.5746335987578508E-2</v>
      </c>
      <c r="AP46" s="245">
        <v>8.0416373790464998E-2</v>
      </c>
      <c r="AQ46" s="165"/>
      <c r="AR46" s="121">
        <v>1.820728291316526E-2</v>
      </c>
      <c r="AS46" s="121">
        <v>9.6605433684085491E-3</v>
      </c>
      <c r="AT46" s="121">
        <v>3.3326688977713501E-2</v>
      </c>
      <c r="AU46" s="121">
        <v>1.6663344488856719E-2</v>
      </c>
      <c r="AV46" s="121">
        <v>3.0668946729753E-2</v>
      </c>
      <c r="AW46" s="121">
        <v>3.5984431225673748E-2</v>
      </c>
      <c r="AX46" s="121">
        <v>2.3666145609304801E-2</v>
      </c>
      <c r="AY46" s="121">
        <v>6.5746335987578508E-2</v>
      </c>
      <c r="AZ46" s="121">
        <v>8.0416373790464998E-2</v>
      </c>
      <c r="BA46" s="121">
        <v>8.6918662596124602E-2</v>
      </c>
      <c r="BB46" s="121">
        <v>0.1100482327762565</v>
      </c>
      <c r="BC46" s="121">
        <v>0.1171013036925133</v>
      </c>
      <c r="BD46" s="121">
        <v>0.1173603024230916</v>
      </c>
      <c r="BE46" s="121">
        <v>0.11736030242309151</v>
      </c>
      <c r="BF46" s="153"/>
      <c r="BG46" s="246">
        <v>9.1036414565826302E-3</v>
      </c>
      <c r="BH46" s="247">
        <v>4.8302716842042754E-3</v>
      </c>
      <c r="BI46" s="247">
        <v>1.666334448885675E-2</v>
      </c>
      <c r="BJ46" s="247">
        <v>8.3316722444283595E-3</v>
      </c>
      <c r="BK46" s="247">
        <v>1.53344733648765E-2</v>
      </c>
      <c r="BL46" s="247">
        <v>1.7992215612836881E-2</v>
      </c>
      <c r="BM46" s="247">
        <v>1.18330728046524E-2</v>
      </c>
      <c r="BN46" s="247">
        <v>3.3175182964756918E-2</v>
      </c>
      <c r="BO46" s="247">
        <v>1.7992215612836881E-2</v>
      </c>
      <c r="BP46" s="247">
        <v>1.18330728046524E-2</v>
      </c>
      <c r="BQ46" s="247">
        <v>3.3175182964756918E-2</v>
      </c>
      <c r="BR46" s="247">
        <v>4.0403346033525342E-2</v>
      </c>
      <c r="BS46" s="247">
        <v>4.4195780818799969E-2</v>
      </c>
      <c r="BT46" s="247">
        <v>4.0546002902235569E-2</v>
      </c>
      <c r="BU46" s="169"/>
      <c r="BV46" s="172">
        <v>2</v>
      </c>
      <c r="BW46" s="210">
        <v>2</v>
      </c>
      <c r="BX46" s="210">
        <v>2</v>
      </c>
      <c r="BY46" s="210">
        <v>2</v>
      </c>
      <c r="BZ46" s="210">
        <v>2</v>
      </c>
      <c r="CA46" s="210">
        <v>2</v>
      </c>
      <c r="CB46" s="210">
        <v>2</v>
      </c>
      <c r="CC46" s="210">
        <v>2</v>
      </c>
      <c r="CD46" s="210">
        <v>2</v>
      </c>
      <c r="CE46" s="210">
        <v>2</v>
      </c>
      <c r="CF46" s="210">
        <v>2</v>
      </c>
      <c r="CG46" s="210">
        <v>2</v>
      </c>
      <c r="CH46" s="210">
        <v>2</v>
      </c>
      <c r="CI46" s="211">
        <v>2</v>
      </c>
      <c r="CJ46" s="249">
        <v>1.981792717086835</v>
      </c>
      <c r="CK46" s="250">
        <v>1.990339456631592</v>
      </c>
      <c r="CL46" s="250">
        <v>1.966673311022286</v>
      </c>
      <c r="CM46" s="250">
        <v>1.9833366555111429</v>
      </c>
      <c r="CN46" s="284">
        <v>1.969331053270247</v>
      </c>
      <c r="CO46" s="284">
        <v>1.9640155687743259</v>
      </c>
      <c r="CP46" s="284">
        <v>1.976333854390695</v>
      </c>
      <c r="CQ46" s="284">
        <v>1.934253664012421</v>
      </c>
      <c r="CR46" s="284">
        <v>1.9195836262095349</v>
      </c>
      <c r="CS46" s="284">
        <v>1.9130813374038751</v>
      </c>
      <c r="CT46" s="284">
        <v>1.9195836262095349</v>
      </c>
      <c r="CU46" s="284">
        <v>1.976333854390695</v>
      </c>
      <c r="CV46" s="284">
        <v>1.934253664012421</v>
      </c>
      <c r="CW46" s="284">
        <v>1.9195836262095349</v>
      </c>
      <c r="CX46" s="249">
        <v>1.975974659526732</v>
      </c>
      <c r="CY46" s="251">
        <v>1.990339456631592</v>
      </c>
      <c r="CZ46" s="127"/>
      <c r="DA46" s="187">
        <v>1.201267023663399E-2</v>
      </c>
      <c r="DB46" s="127" t="s">
        <v>216</v>
      </c>
    </row>
    <row r="47" spans="1:107" x14ac:dyDescent="0.35">
      <c r="A47" s="62" t="s">
        <v>141</v>
      </c>
      <c r="B47" s="46" t="s">
        <v>178</v>
      </c>
      <c r="C47" s="345"/>
      <c r="D47" s="253" t="s">
        <v>217</v>
      </c>
      <c r="E47" s="180" t="s">
        <v>55</v>
      </c>
      <c r="F47" s="285"/>
      <c r="G47" s="175"/>
      <c r="H47" s="286"/>
      <c r="I47" s="286"/>
      <c r="J47" s="286"/>
      <c r="K47" s="287"/>
      <c r="M47" s="244">
        <v>1</v>
      </c>
      <c r="N47" s="119">
        <v>12.6</v>
      </c>
      <c r="O47" s="120">
        <v>7</v>
      </c>
      <c r="P47" s="120">
        <v>12.5</v>
      </c>
      <c r="Q47" s="120">
        <v>10</v>
      </c>
      <c r="R47" s="120">
        <v>15.75</v>
      </c>
      <c r="S47" s="120">
        <v>13</v>
      </c>
      <c r="T47" s="120">
        <v>21.2</v>
      </c>
      <c r="U47" s="120">
        <v>23</v>
      </c>
      <c r="V47" s="120">
        <v>29</v>
      </c>
      <c r="W47" s="120">
        <v>31.8</v>
      </c>
      <c r="X47" s="120">
        <v>31</v>
      </c>
      <c r="Y47" s="120">
        <v>28.75</v>
      </c>
      <c r="Z47" s="120">
        <v>32</v>
      </c>
      <c r="AA47" s="120">
        <v>27</v>
      </c>
      <c r="AB47" s="165"/>
      <c r="AC47" s="245">
        <v>0.21568627450980399</v>
      </c>
      <c r="AD47" s="245">
        <v>0.15522875816993481</v>
      </c>
      <c r="AE47" s="245">
        <v>0.2013305322128853</v>
      </c>
      <c r="AF47" s="245">
        <v>0.19140989729225019</v>
      </c>
      <c r="AG47" s="245">
        <v>0.26289682539682518</v>
      </c>
      <c r="AH47" s="245">
        <v>0.23225957049486479</v>
      </c>
      <c r="AI47" s="245">
        <v>0.32228446934329202</v>
      </c>
      <c r="AJ47" s="245">
        <v>0.30929038281979482</v>
      </c>
      <c r="AK47" s="245">
        <v>0.37542794895736131</v>
      </c>
      <c r="AL47" s="245">
        <v>0.39503579209461631</v>
      </c>
      <c r="AM47" s="245">
        <v>0.37542794895736131</v>
      </c>
      <c r="AN47" s="245">
        <v>0.32228446934329202</v>
      </c>
      <c r="AO47" s="245">
        <v>0.30929038281979482</v>
      </c>
      <c r="AP47" s="245">
        <v>0.37542794895736131</v>
      </c>
      <c r="AQ47" s="165"/>
      <c r="AR47" s="121">
        <v>0.21568627450980399</v>
      </c>
      <c r="AS47" s="121">
        <v>0.13305322128851549</v>
      </c>
      <c r="AT47" s="121">
        <v>0.2013305322128853</v>
      </c>
      <c r="AU47" s="121">
        <v>0.19140989729225019</v>
      </c>
      <c r="AV47" s="121">
        <v>0.26289682539682518</v>
      </c>
      <c r="AW47" s="121">
        <v>0.23225957049486479</v>
      </c>
      <c r="AX47" s="121">
        <v>0.32228446934329202</v>
      </c>
      <c r="AY47" s="121">
        <v>0.30929038281979482</v>
      </c>
      <c r="AZ47" s="121">
        <v>0.37542794895736131</v>
      </c>
      <c r="BA47" s="121">
        <v>0.39503579209461631</v>
      </c>
      <c r="BB47" s="121">
        <v>0.36609088079676377</v>
      </c>
      <c r="BC47" s="121">
        <v>0.35519763460939952</v>
      </c>
      <c r="BD47" s="121">
        <v>0.39098972922502417</v>
      </c>
      <c r="BE47" s="121">
        <v>0.28011204481792751</v>
      </c>
      <c r="BF47" s="153"/>
      <c r="BG47" s="246">
        <v>0.21568627450980399</v>
      </c>
      <c r="BH47" s="247">
        <v>0.15522875816993481</v>
      </c>
      <c r="BI47" s="247">
        <v>0.2013305322128853</v>
      </c>
      <c r="BJ47" s="247">
        <v>0.19140989729225019</v>
      </c>
      <c r="BK47" s="247">
        <v>0.26289682539682518</v>
      </c>
      <c r="BL47" s="247">
        <v>0.23225957049486479</v>
      </c>
      <c r="BM47" s="247">
        <v>0.32228446934329202</v>
      </c>
      <c r="BN47" s="247">
        <v>0.39434523809523842</v>
      </c>
      <c r="BO47" s="247">
        <v>0.23225957049486479</v>
      </c>
      <c r="BP47" s="247">
        <v>0.32228446934329202</v>
      </c>
      <c r="BQ47" s="247">
        <v>0.39434523809523842</v>
      </c>
      <c r="BR47" s="247">
        <v>0.44441374228608338</v>
      </c>
      <c r="BS47" s="247">
        <v>0.49461737054898042</v>
      </c>
      <c r="BT47" s="247">
        <v>0.46429946112394221</v>
      </c>
      <c r="BU47" s="169"/>
      <c r="BV47" s="172">
        <v>1</v>
      </c>
      <c r="BW47" s="210">
        <v>1</v>
      </c>
      <c r="BX47" s="210">
        <v>1</v>
      </c>
      <c r="BY47" s="210">
        <v>1</v>
      </c>
      <c r="BZ47" s="210">
        <v>1</v>
      </c>
      <c r="CA47" s="210">
        <v>1</v>
      </c>
      <c r="CB47" s="210">
        <v>1</v>
      </c>
      <c r="CC47" s="210">
        <v>1</v>
      </c>
      <c r="CD47" s="210">
        <v>1</v>
      </c>
      <c r="CE47" s="210">
        <v>1</v>
      </c>
      <c r="CF47" s="210">
        <v>1</v>
      </c>
      <c r="CG47" s="210">
        <v>1</v>
      </c>
      <c r="CH47" s="210">
        <v>1</v>
      </c>
      <c r="CI47" s="211">
        <v>1</v>
      </c>
      <c r="CJ47" s="249">
        <v>0.78431372549019596</v>
      </c>
      <c r="CK47" s="250">
        <v>0.84477124183006524</v>
      </c>
      <c r="CL47" s="250">
        <v>0.79866946778711467</v>
      </c>
      <c r="CM47" s="250">
        <v>0.80859010270774978</v>
      </c>
      <c r="CN47" s="284">
        <v>0.73710317460317476</v>
      </c>
      <c r="CO47" s="284">
        <v>0.76774042950513521</v>
      </c>
      <c r="CP47" s="284">
        <v>0.67771553065670798</v>
      </c>
      <c r="CQ47" s="284">
        <v>0.69070961718020518</v>
      </c>
      <c r="CR47" s="284">
        <v>0.62457205104263869</v>
      </c>
      <c r="CS47" s="284">
        <v>0.60496420790538374</v>
      </c>
      <c r="CT47" s="284">
        <v>0.62457205104263869</v>
      </c>
      <c r="CU47" s="284">
        <v>0.67771553065670798</v>
      </c>
      <c r="CV47" s="284">
        <v>0.69070961718020518</v>
      </c>
      <c r="CW47" s="284">
        <v>0.62457205104263869</v>
      </c>
      <c r="CX47" s="249">
        <v>0.77412909608287772</v>
      </c>
      <c r="CY47" s="251"/>
      <c r="CZ47" s="127"/>
      <c r="DA47" s="187">
        <v>0.22587090391712231</v>
      </c>
      <c r="DB47" s="127" t="s">
        <v>218</v>
      </c>
      <c r="DC47" s="91"/>
    </row>
    <row r="48" spans="1:107" x14ac:dyDescent="0.35">
      <c r="A48" s="62" t="s">
        <v>147</v>
      </c>
      <c r="B48" s="46" t="s">
        <v>178</v>
      </c>
      <c r="C48" s="345"/>
      <c r="D48" s="253" t="s">
        <v>219</v>
      </c>
      <c r="E48" s="180" t="s">
        <v>220</v>
      </c>
      <c r="F48" s="283" t="s">
        <v>221</v>
      </c>
      <c r="G48" s="241">
        <v>0.85</v>
      </c>
      <c r="H48" s="176" t="s">
        <v>114</v>
      </c>
      <c r="I48" s="176" t="s">
        <v>222</v>
      </c>
      <c r="J48" s="176" t="s">
        <v>110</v>
      </c>
      <c r="K48" s="177">
        <v>24</v>
      </c>
      <c r="M48" s="244">
        <v>4</v>
      </c>
      <c r="N48" s="119">
        <v>1.2</v>
      </c>
      <c r="O48" s="120">
        <v>0</v>
      </c>
      <c r="P48" s="120">
        <v>0</v>
      </c>
      <c r="Q48" s="120">
        <v>0.4</v>
      </c>
      <c r="R48" s="120">
        <v>0</v>
      </c>
      <c r="S48" s="120">
        <v>1</v>
      </c>
      <c r="T48" s="120">
        <v>0</v>
      </c>
      <c r="U48" s="120">
        <v>0</v>
      </c>
      <c r="V48" s="120">
        <v>0</v>
      </c>
      <c r="W48" s="120">
        <v>0</v>
      </c>
      <c r="X48" s="120">
        <v>0</v>
      </c>
      <c r="Y48" s="120">
        <v>0</v>
      </c>
      <c r="Z48" s="120">
        <v>0</v>
      </c>
      <c r="AA48" s="120">
        <v>0</v>
      </c>
      <c r="AB48" s="165"/>
      <c r="AC48" s="245">
        <v>3.6905462184873998E-2</v>
      </c>
      <c r="AD48" s="245">
        <v>0</v>
      </c>
      <c r="AE48" s="245">
        <v>0</v>
      </c>
      <c r="AF48" s="245">
        <v>1.2301820728291319E-2</v>
      </c>
      <c r="AG48" s="245">
        <v>0</v>
      </c>
      <c r="AH48" s="245">
        <v>3.0754551820728251E-2</v>
      </c>
      <c r="AI48" s="245">
        <v>0</v>
      </c>
      <c r="AJ48" s="245">
        <v>0</v>
      </c>
      <c r="AK48" s="245">
        <v>0</v>
      </c>
      <c r="AL48" s="245">
        <v>0</v>
      </c>
      <c r="AM48" s="245">
        <v>0</v>
      </c>
      <c r="AN48" s="245">
        <v>0</v>
      </c>
      <c r="AO48" s="245">
        <v>0</v>
      </c>
      <c r="AP48" s="245">
        <v>0</v>
      </c>
      <c r="AQ48" s="165"/>
      <c r="AR48" s="121">
        <v>3.6905462184873998E-2</v>
      </c>
      <c r="AS48" s="121">
        <v>0</v>
      </c>
      <c r="AT48" s="121">
        <v>0</v>
      </c>
      <c r="AU48" s="121">
        <v>1.8452731092436982E-2</v>
      </c>
      <c r="AV48" s="121">
        <v>0</v>
      </c>
      <c r="AW48" s="121">
        <v>3.0754551820728251E-2</v>
      </c>
      <c r="AX48" s="121">
        <v>0</v>
      </c>
      <c r="AY48" s="121">
        <v>0</v>
      </c>
      <c r="AZ48" s="121">
        <v>0</v>
      </c>
      <c r="BA48" s="121">
        <v>0</v>
      </c>
      <c r="BB48" s="121">
        <v>0</v>
      </c>
      <c r="BC48" s="121">
        <v>0</v>
      </c>
      <c r="BD48" s="121">
        <v>0</v>
      </c>
      <c r="BE48" s="121">
        <v>0</v>
      </c>
      <c r="BF48" s="153"/>
      <c r="BG48" s="288">
        <v>9.2263655462184995E-3</v>
      </c>
      <c r="BH48" s="289">
        <v>0</v>
      </c>
      <c r="BI48" s="289">
        <v>0</v>
      </c>
      <c r="BJ48" s="289">
        <v>3.0754551820728298E-3</v>
      </c>
      <c r="BK48" s="289">
        <v>0</v>
      </c>
      <c r="BL48" s="289">
        <v>7.6886379551820627E-3</v>
      </c>
      <c r="BM48" s="289">
        <v>0</v>
      </c>
      <c r="BN48" s="289">
        <v>0</v>
      </c>
      <c r="BO48" s="289">
        <v>7.6886379551820627E-3</v>
      </c>
      <c r="BP48" s="289">
        <v>0</v>
      </c>
      <c r="BQ48" s="289">
        <v>0</v>
      </c>
      <c r="BR48" s="289">
        <v>0</v>
      </c>
      <c r="BS48" s="289">
        <v>0</v>
      </c>
      <c r="BT48" s="289">
        <v>0</v>
      </c>
      <c r="BU48" s="169"/>
      <c r="BV48" s="218">
        <v>4</v>
      </c>
      <c r="BW48" s="219">
        <v>4</v>
      </c>
      <c r="BX48" s="219">
        <v>4</v>
      </c>
      <c r="BY48" s="219">
        <v>4</v>
      </c>
      <c r="BZ48" s="219">
        <v>4</v>
      </c>
      <c r="CA48" s="219">
        <v>4</v>
      </c>
      <c r="CB48" s="219">
        <v>4</v>
      </c>
      <c r="CC48" s="219">
        <v>4</v>
      </c>
      <c r="CD48" s="219">
        <v>4</v>
      </c>
      <c r="CE48" s="219">
        <v>4</v>
      </c>
      <c r="CF48" s="219">
        <v>4</v>
      </c>
      <c r="CG48" s="219">
        <v>4</v>
      </c>
      <c r="CH48" s="219">
        <v>4</v>
      </c>
      <c r="CI48" s="220">
        <v>4</v>
      </c>
      <c r="CJ48" s="249">
        <v>3.9630945378151261</v>
      </c>
      <c r="CK48" s="250">
        <v>4</v>
      </c>
      <c r="CL48" s="250">
        <v>4</v>
      </c>
      <c r="CM48" s="250">
        <v>3.987698179271709</v>
      </c>
      <c r="CN48" s="284">
        <v>4</v>
      </c>
      <c r="CO48" s="284">
        <v>3.9692454481792718</v>
      </c>
      <c r="CP48" s="284">
        <v>4</v>
      </c>
      <c r="CQ48" s="284">
        <v>4</v>
      </c>
      <c r="CR48" s="284">
        <v>4</v>
      </c>
      <c r="CS48" s="284">
        <v>4</v>
      </c>
      <c r="CT48" s="284">
        <v>4</v>
      </c>
      <c r="CU48" s="284">
        <v>4</v>
      </c>
      <c r="CV48" s="284">
        <v>4</v>
      </c>
      <c r="CW48" s="284">
        <v>4</v>
      </c>
      <c r="CX48" s="249">
        <v>3.988576880752301</v>
      </c>
      <c r="CY48" s="251">
        <v>4</v>
      </c>
      <c r="CZ48" s="127"/>
      <c r="DA48" s="187">
        <v>2.855779811924752E-3</v>
      </c>
      <c r="DB48" s="127" t="s">
        <v>223</v>
      </c>
      <c r="DC48" s="91"/>
    </row>
    <row r="49" spans="1:113" x14ac:dyDescent="0.35">
      <c r="A49" s="62" t="s">
        <v>147</v>
      </c>
      <c r="B49" s="46" t="s">
        <v>178</v>
      </c>
      <c r="C49" s="345"/>
      <c r="D49" s="253" t="s">
        <v>224</v>
      </c>
      <c r="E49" s="180" t="s">
        <v>225</v>
      </c>
      <c r="F49" s="290" t="s">
        <v>226</v>
      </c>
      <c r="G49" s="241">
        <v>0.85</v>
      </c>
      <c r="H49" s="176" t="s">
        <v>114</v>
      </c>
      <c r="I49" s="176" t="s">
        <v>227</v>
      </c>
      <c r="J49" s="176" t="s">
        <v>139</v>
      </c>
      <c r="K49" s="177">
        <v>3</v>
      </c>
      <c r="M49" s="244">
        <v>1</v>
      </c>
      <c r="N49" s="119">
        <v>0</v>
      </c>
      <c r="O49" s="120">
        <v>0</v>
      </c>
      <c r="P49" s="120">
        <v>2</v>
      </c>
      <c r="Q49" s="120">
        <v>5.8</v>
      </c>
      <c r="R49" s="120">
        <v>11</v>
      </c>
      <c r="S49" s="120">
        <v>10</v>
      </c>
      <c r="T49" s="120">
        <v>17</v>
      </c>
      <c r="U49" s="120">
        <v>19</v>
      </c>
      <c r="V49" s="120">
        <v>15</v>
      </c>
      <c r="W49" s="120">
        <v>15</v>
      </c>
      <c r="X49" s="120">
        <v>14</v>
      </c>
      <c r="Y49" s="120">
        <v>14</v>
      </c>
      <c r="Z49" s="120">
        <v>16</v>
      </c>
      <c r="AA49" s="120">
        <v>20</v>
      </c>
      <c r="AB49" s="165"/>
      <c r="AC49" s="245">
        <v>0</v>
      </c>
      <c r="AD49" s="245">
        <v>0</v>
      </c>
      <c r="AE49" s="245">
        <v>1.725801431683785E-2</v>
      </c>
      <c r="AF49" s="245">
        <v>5.0203859321506408E-2</v>
      </c>
      <c r="AG49" s="245">
        <v>9.6475256769374504E-2</v>
      </c>
      <c r="AH49" s="245">
        <v>8.8235294117647009E-2</v>
      </c>
      <c r="AI49" s="245">
        <v>0.15</v>
      </c>
      <c r="AJ49" s="245">
        <v>0.16764705882352951</v>
      </c>
      <c r="AK49" s="245">
        <v>0.13235294117647051</v>
      </c>
      <c r="AL49" s="245">
        <v>0.13235294117647059</v>
      </c>
      <c r="AM49" s="245">
        <v>0.13235294117647051</v>
      </c>
      <c r="AN49" s="245">
        <v>0.15</v>
      </c>
      <c r="AO49" s="245">
        <v>0.16764705882352951</v>
      </c>
      <c r="AP49" s="245">
        <v>0.13235294117647051</v>
      </c>
      <c r="AQ49" s="165"/>
      <c r="AR49" s="121">
        <v>0</v>
      </c>
      <c r="AS49" s="121">
        <v>2.8044273264861499E-2</v>
      </c>
      <c r="AT49" s="121">
        <v>4.0987784002490001E-2</v>
      </c>
      <c r="AU49" s="121">
        <v>4.8555866791161008E-2</v>
      </c>
      <c r="AV49" s="121">
        <v>9.6475256769374504E-2</v>
      </c>
      <c r="AW49" s="121">
        <v>8.8235294117647009E-2</v>
      </c>
      <c r="AX49" s="121">
        <v>0.15</v>
      </c>
      <c r="AY49" s="121">
        <v>0.16764705882352951</v>
      </c>
      <c r="AZ49" s="121">
        <v>0.13235294117647051</v>
      </c>
      <c r="BA49" s="121">
        <v>0.13235294117647059</v>
      </c>
      <c r="BB49" s="121">
        <v>0.123529411764706</v>
      </c>
      <c r="BC49" s="121">
        <v>0.123529411764706</v>
      </c>
      <c r="BD49" s="121">
        <v>0.14117647058823521</v>
      </c>
      <c r="BE49" s="121">
        <v>0.17647058823529399</v>
      </c>
      <c r="BF49" s="153"/>
      <c r="BG49" s="288">
        <v>0</v>
      </c>
      <c r="BH49" s="289">
        <v>0</v>
      </c>
      <c r="BI49" s="289">
        <v>1.725801431683785E-2</v>
      </c>
      <c r="BJ49" s="289">
        <v>5.0203859321506408E-2</v>
      </c>
      <c r="BK49" s="289">
        <v>9.6475256769374504E-2</v>
      </c>
      <c r="BL49" s="289">
        <v>8.8235294117647009E-2</v>
      </c>
      <c r="BM49" s="289">
        <v>0.15</v>
      </c>
      <c r="BN49" s="289">
        <v>0.16764705882352951</v>
      </c>
      <c r="BO49" s="289">
        <v>8.8235294117647009E-2</v>
      </c>
      <c r="BP49" s="289">
        <v>0.15</v>
      </c>
      <c r="BQ49" s="289">
        <v>0.16764705882352951</v>
      </c>
      <c r="BR49" s="289">
        <v>0.13235294117647051</v>
      </c>
      <c r="BS49" s="289">
        <v>0.13467720226124691</v>
      </c>
      <c r="BT49" s="289">
        <v>0.13934878813249679</v>
      </c>
      <c r="BU49" s="169"/>
      <c r="BV49" s="218">
        <v>1</v>
      </c>
      <c r="BW49" s="219">
        <v>1</v>
      </c>
      <c r="BX49" s="219">
        <v>1</v>
      </c>
      <c r="BY49" s="219">
        <v>1</v>
      </c>
      <c r="BZ49" s="219">
        <v>1</v>
      </c>
      <c r="CA49" s="219">
        <v>1</v>
      </c>
      <c r="CB49" s="219">
        <v>1</v>
      </c>
      <c r="CC49" s="219">
        <v>1</v>
      </c>
      <c r="CD49" s="219">
        <v>1</v>
      </c>
      <c r="CE49" s="219">
        <v>1</v>
      </c>
      <c r="CF49" s="219">
        <v>1</v>
      </c>
      <c r="CG49" s="219">
        <v>1</v>
      </c>
      <c r="CH49" s="219">
        <v>1</v>
      </c>
      <c r="CI49" s="220">
        <v>1</v>
      </c>
      <c r="CJ49" s="249">
        <v>1</v>
      </c>
      <c r="CK49" s="250">
        <v>1</v>
      </c>
      <c r="CL49" s="250">
        <v>0.98274198568316218</v>
      </c>
      <c r="CM49" s="250">
        <v>0.94979614067849361</v>
      </c>
      <c r="CN49" s="250">
        <v>0.90352474323062548</v>
      </c>
      <c r="CO49" s="284">
        <v>0.91176470588235303</v>
      </c>
      <c r="CP49" s="284">
        <v>0.85</v>
      </c>
      <c r="CQ49" s="284">
        <v>0.83235294117647052</v>
      </c>
      <c r="CR49" s="284">
        <v>0.86764705882352944</v>
      </c>
      <c r="CS49" s="284">
        <v>0.86764705882352944</v>
      </c>
      <c r="CT49" s="284">
        <v>0.86764705882352944</v>
      </c>
      <c r="CU49" s="284">
        <v>0.85</v>
      </c>
      <c r="CV49" s="284">
        <v>0.83235294117647052</v>
      </c>
      <c r="CW49" s="284">
        <v>0.86764705882352944</v>
      </c>
      <c r="CX49" s="249">
        <v>0.94254679649637629</v>
      </c>
      <c r="CY49" s="251">
        <v>1</v>
      </c>
      <c r="CZ49" s="127"/>
      <c r="DA49" s="187">
        <v>5.7453203503623707E-2</v>
      </c>
      <c r="DB49" s="127" t="s">
        <v>228</v>
      </c>
      <c r="DC49" s="91"/>
    </row>
    <row r="50" spans="1:113" x14ac:dyDescent="0.35">
      <c r="A50" s="62" t="s">
        <v>147</v>
      </c>
      <c r="B50" s="46" t="s">
        <v>178</v>
      </c>
      <c r="C50" s="345"/>
      <c r="D50" s="253" t="s">
        <v>229</v>
      </c>
      <c r="E50" s="180" t="s">
        <v>230</v>
      </c>
      <c r="F50" s="290" t="s">
        <v>231</v>
      </c>
      <c r="G50" s="241">
        <v>0.85</v>
      </c>
      <c r="H50" s="176" t="s">
        <v>114</v>
      </c>
      <c r="I50" s="176" t="s">
        <v>232</v>
      </c>
      <c r="J50" s="176" t="s">
        <v>233</v>
      </c>
      <c r="K50" s="177">
        <v>6</v>
      </c>
      <c r="M50" s="244">
        <v>0</v>
      </c>
      <c r="N50" s="119">
        <v>0</v>
      </c>
      <c r="O50" s="120">
        <v>0</v>
      </c>
      <c r="P50" s="120">
        <v>0</v>
      </c>
      <c r="Q50" s="120">
        <v>0</v>
      </c>
      <c r="R50" s="120">
        <v>0</v>
      </c>
      <c r="S50" s="120">
        <v>0</v>
      </c>
      <c r="T50" s="120">
        <v>0</v>
      </c>
      <c r="U50" s="120">
        <v>0</v>
      </c>
      <c r="V50" s="120">
        <v>0</v>
      </c>
      <c r="W50" s="120">
        <v>0</v>
      </c>
      <c r="X50" s="120">
        <v>0</v>
      </c>
      <c r="Y50" s="120">
        <v>0</v>
      </c>
      <c r="Z50" s="120">
        <v>0</v>
      </c>
      <c r="AA50" s="120">
        <v>0</v>
      </c>
      <c r="AB50" s="165"/>
      <c r="AC50" s="245">
        <v>0</v>
      </c>
      <c r="AD50" s="245">
        <v>0</v>
      </c>
      <c r="AE50" s="245">
        <v>0</v>
      </c>
      <c r="AF50" s="245">
        <v>0</v>
      </c>
      <c r="AG50" s="245">
        <v>0</v>
      </c>
      <c r="AH50" s="245">
        <v>0</v>
      </c>
      <c r="AI50" s="245">
        <v>0</v>
      </c>
      <c r="AJ50" s="245">
        <v>0</v>
      </c>
      <c r="AK50" s="245">
        <v>0</v>
      </c>
      <c r="AL50" s="245">
        <v>0</v>
      </c>
      <c r="AM50" s="245">
        <v>0</v>
      </c>
      <c r="AN50" s="245">
        <v>0</v>
      </c>
      <c r="AO50" s="245">
        <v>0</v>
      </c>
      <c r="AP50" s="245">
        <v>0</v>
      </c>
      <c r="AQ50" s="165"/>
      <c r="AR50" s="121">
        <v>0</v>
      </c>
      <c r="AS50" s="121">
        <v>0</v>
      </c>
      <c r="AT50" s="121">
        <v>0</v>
      </c>
      <c r="AU50" s="121">
        <v>0</v>
      </c>
      <c r="AV50" s="121">
        <v>0</v>
      </c>
      <c r="AW50" s="121">
        <v>0</v>
      </c>
      <c r="AX50" s="121">
        <v>0</v>
      </c>
      <c r="AY50" s="121">
        <v>0</v>
      </c>
      <c r="AZ50" s="121">
        <v>0</v>
      </c>
      <c r="BA50" s="121">
        <v>0</v>
      </c>
      <c r="BB50" s="121">
        <v>0</v>
      </c>
      <c r="BC50" s="121">
        <v>0</v>
      </c>
      <c r="BD50" s="121">
        <v>0</v>
      </c>
      <c r="BE50" s="121">
        <v>0</v>
      </c>
      <c r="BF50" s="153"/>
      <c r="BG50" s="288">
        <v>0</v>
      </c>
      <c r="BH50" s="289">
        <v>0</v>
      </c>
      <c r="BI50" s="289">
        <v>0</v>
      </c>
      <c r="BJ50" s="289">
        <v>0</v>
      </c>
      <c r="BK50" s="289">
        <v>0</v>
      </c>
      <c r="BL50" s="289">
        <v>0</v>
      </c>
      <c r="BM50" s="289">
        <v>0</v>
      </c>
      <c r="BN50" s="289">
        <v>0</v>
      </c>
      <c r="BO50" s="289">
        <v>0</v>
      </c>
      <c r="BP50" s="289">
        <v>0</v>
      </c>
      <c r="BQ50" s="289">
        <v>0</v>
      </c>
      <c r="BR50" s="289">
        <v>0</v>
      </c>
      <c r="BS50" s="289">
        <v>0</v>
      </c>
      <c r="BT50" s="289">
        <v>0</v>
      </c>
      <c r="BU50" s="169"/>
      <c r="BV50" s="218">
        <v>0</v>
      </c>
      <c r="BW50" s="219">
        <v>0</v>
      </c>
      <c r="BX50" s="219">
        <v>0</v>
      </c>
      <c r="BY50" s="219">
        <v>0</v>
      </c>
      <c r="BZ50" s="219">
        <v>0</v>
      </c>
      <c r="CA50" s="219">
        <v>0</v>
      </c>
      <c r="CB50" s="219">
        <v>0</v>
      </c>
      <c r="CC50" s="219">
        <v>0</v>
      </c>
      <c r="CD50" s="219">
        <v>0</v>
      </c>
      <c r="CE50" s="219">
        <v>0</v>
      </c>
      <c r="CF50" s="219">
        <v>0</v>
      </c>
      <c r="CG50" s="219">
        <v>0</v>
      </c>
      <c r="CH50" s="219">
        <v>0</v>
      </c>
      <c r="CI50" s="220">
        <v>0</v>
      </c>
      <c r="CJ50" s="249">
        <v>0</v>
      </c>
      <c r="CK50" s="250">
        <v>0</v>
      </c>
      <c r="CL50" s="250">
        <v>0</v>
      </c>
      <c r="CM50" s="250">
        <v>0</v>
      </c>
      <c r="CN50" s="250">
        <v>0</v>
      </c>
      <c r="CO50" s="250">
        <v>0</v>
      </c>
      <c r="CP50" s="250">
        <v>0</v>
      </c>
      <c r="CQ50" s="250">
        <v>0</v>
      </c>
      <c r="CR50" s="250">
        <v>0</v>
      </c>
      <c r="CS50" s="250">
        <v>0</v>
      </c>
      <c r="CT50" s="250">
        <v>0</v>
      </c>
      <c r="CU50" s="250">
        <v>0</v>
      </c>
      <c r="CV50" s="250">
        <v>0</v>
      </c>
      <c r="CW50" s="250">
        <v>0</v>
      </c>
      <c r="CX50" s="249">
        <v>0</v>
      </c>
      <c r="CY50" s="251">
        <v>0</v>
      </c>
      <c r="CZ50" s="127"/>
      <c r="DA50" s="187" t="e">
        <v>#DIV/0!</v>
      </c>
      <c r="DB50" s="127" t="s">
        <v>234</v>
      </c>
      <c r="DC50" s="91"/>
      <c r="DD50" s="107"/>
      <c r="DE50" s="107"/>
      <c r="DF50" s="107"/>
      <c r="DG50" s="99"/>
      <c r="DH50" s="107"/>
      <c r="DI50" s="107"/>
    </row>
    <row r="51" spans="1:113" x14ac:dyDescent="0.35">
      <c r="A51" s="62" t="s">
        <v>147</v>
      </c>
      <c r="B51" s="46" t="s">
        <v>178</v>
      </c>
      <c r="C51" s="345"/>
      <c r="D51" s="253" t="s">
        <v>235</v>
      </c>
      <c r="E51" s="180" t="s">
        <v>236</v>
      </c>
      <c r="F51" s="290" t="s">
        <v>237</v>
      </c>
      <c r="G51" s="241">
        <v>0.85</v>
      </c>
      <c r="H51" s="176" t="s">
        <v>114</v>
      </c>
      <c r="I51" s="176"/>
      <c r="J51" s="176"/>
      <c r="K51" s="177">
        <v>1</v>
      </c>
      <c r="M51" s="244">
        <v>0</v>
      </c>
      <c r="N51" s="119">
        <v>0</v>
      </c>
      <c r="O51" s="120">
        <v>0</v>
      </c>
      <c r="P51" s="120">
        <v>0</v>
      </c>
      <c r="Q51" s="120">
        <v>0</v>
      </c>
      <c r="R51" s="120">
        <v>0</v>
      </c>
      <c r="S51" s="120">
        <v>0</v>
      </c>
      <c r="T51" s="120">
        <v>0</v>
      </c>
      <c r="U51" s="120">
        <v>0</v>
      </c>
      <c r="V51" s="120">
        <v>0</v>
      </c>
      <c r="W51" s="120">
        <v>0</v>
      </c>
      <c r="X51" s="120">
        <v>0</v>
      </c>
      <c r="Y51" s="120">
        <v>0</v>
      </c>
      <c r="Z51" s="120">
        <v>0</v>
      </c>
      <c r="AA51" s="120">
        <v>0</v>
      </c>
      <c r="AB51" s="165"/>
      <c r="AC51" s="245">
        <v>0</v>
      </c>
      <c r="AD51" s="245">
        <v>0</v>
      </c>
      <c r="AE51" s="245">
        <v>0</v>
      </c>
      <c r="AF51" s="245">
        <v>0</v>
      </c>
      <c r="AG51" s="245">
        <v>0</v>
      </c>
      <c r="AH51" s="245">
        <v>0</v>
      </c>
      <c r="AI51" s="245">
        <v>0</v>
      </c>
      <c r="AJ51" s="245">
        <v>0</v>
      </c>
      <c r="AK51" s="245">
        <v>0</v>
      </c>
      <c r="AL51" s="245">
        <v>0</v>
      </c>
      <c r="AM51" s="245">
        <v>0</v>
      </c>
      <c r="AN51" s="245">
        <v>0</v>
      </c>
      <c r="AO51" s="245">
        <v>0</v>
      </c>
      <c r="AP51" s="245">
        <v>0</v>
      </c>
      <c r="AQ51" s="165"/>
      <c r="AR51" s="121">
        <v>0</v>
      </c>
      <c r="AS51" s="121">
        <v>0</v>
      </c>
      <c r="AT51" s="121">
        <v>0</v>
      </c>
      <c r="AU51" s="121">
        <v>0</v>
      </c>
      <c r="AV51" s="121">
        <v>0</v>
      </c>
      <c r="AW51" s="121">
        <v>0</v>
      </c>
      <c r="AX51" s="121">
        <v>0</v>
      </c>
      <c r="AY51" s="121">
        <v>0</v>
      </c>
      <c r="AZ51" s="121">
        <v>0</v>
      </c>
      <c r="BA51" s="121">
        <v>0</v>
      </c>
      <c r="BB51" s="121">
        <v>0</v>
      </c>
      <c r="BC51" s="121">
        <v>0</v>
      </c>
      <c r="BD51" s="121">
        <v>0</v>
      </c>
      <c r="BE51" s="121">
        <v>0</v>
      </c>
      <c r="BF51" s="153"/>
      <c r="BG51" s="288">
        <v>0</v>
      </c>
      <c r="BH51" s="289">
        <v>0</v>
      </c>
      <c r="BI51" s="289">
        <v>0</v>
      </c>
      <c r="BJ51" s="289">
        <v>0</v>
      </c>
      <c r="BK51" s="289">
        <v>0</v>
      </c>
      <c r="BL51" s="289">
        <v>0</v>
      </c>
      <c r="BM51" s="289">
        <v>0</v>
      </c>
      <c r="BN51" s="289">
        <v>0</v>
      </c>
      <c r="BO51" s="289">
        <v>0</v>
      </c>
      <c r="BP51" s="289">
        <v>0</v>
      </c>
      <c r="BQ51" s="289">
        <v>0</v>
      </c>
      <c r="BR51" s="289">
        <v>0</v>
      </c>
      <c r="BS51" s="289">
        <v>0</v>
      </c>
      <c r="BT51" s="289">
        <v>0</v>
      </c>
      <c r="BU51" s="169"/>
      <c r="BV51" s="218">
        <v>0</v>
      </c>
      <c r="BW51" s="219">
        <v>0</v>
      </c>
      <c r="BX51" s="219">
        <v>0</v>
      </c>
      <c r="BY51" s="219">
        <v>0</v>
      </c>
      <c r="BZ51" s="219">
        <v>0</v>
      </c>
      <c r="CA51" s="219">
        <v>0</v>
      </c>
      <c r="CB51" s="219">
        <v>0</v>
      </c>
      <c r="CC51" s="219">
        <v>0</v>
      </c>
      <c r="CD51" s="219">
        <v>0</v>
      </c>
      <c r="CE51" s="219">
        <v>0</v>
      </c>
      <c r="CF51" s="219">
        <v>0</v>
      </c>
      <c r="CG51" s="219">
        <v>0</v>
      </c>
      <c r="CH51" s="219">
        <v>0</v>
      </c>
      <c r="CI51" s="220">
        <v>0</v>
      </c>
      <c r="CJ51" s="249">
        <v>0</v>
      </c>
      <c r="CK51" s="250">
        <v>0</v>
      </c>
      <c r="CL51" s="250">
        <v>0</v>
      </c>
      <c r="CM51" s="250">
        <v>0</v>
      </c>
      <c r="CN51" s="250">
        <v>0</v>
      </c>
      <c r="CO51" s="284">
        <v>0</v>
      </c>
      <c r="CP51" s="284">
        <v>0</v>
      </c>
      <c r="CQ51" s="284">
        <v>0</v>
      </c>
      <c r="CR51" s="284">
        <v>0</v>
      </c>
      <c r="CS51" s="284">
        <v>0</v>
      </c>
      <c r="CT51" s="284">
        <v>0</v>
      </c>
      <c r="CU51" s="284">
        <v>0</v>
      </c>
      <c r="CV51" s="284">
        <v>0</v>
      </c>
      <c r="CW51" s="284">
        <v>0</v>
      </c>
      <c r="CX51" s="249">
        <v>0</v>
      </c>
      <c r="CY51" s="251">
        <v>0</v>
      </c>
      <c r="CZ51" s="127"/>
      <c r="DA51" s="187" t="e">
        <v>#DIV/0!</v>
      </c>
      <c r="DB51" s="127" t="s">
        <v>238</v>
      </c>
      <c r="DC51" s="91"/>
      <c r="DD51" s="107"/>
      <c r="DE51" s="107"/>
      <c r="DF51" s="107"/>
      <c r="DG51" s="99"/>
      <c r="DH51" s="107"/>
      <c r="DI51" s="107"/>
    </row>
    <row r="52" spans="1:113" x14ac:dyDescent="0.35">
      <c r="A52" s="62" t="s">
        <v>147</v>
      </c>
      <c r="B52" s="46" t="s">
        <v>178</v>
      </c>
      <c r="C52" s="345"/>
      <c r="D52" s="253" t="s">
        <v>239</v>
      </c>
      <c r="E52" s="180" t="s">
        <v>240</v>
      </c>
      <c r="F52" s="290" t="s">
        <v>241</v>
      </c>
      <c r="G52" s="241">
        <v>0.85</v>
      </c>
      <c r="H52" s="176" t="s">
        <v>108</v>
      </c>
      <c r="I52" s="176" t="s">
        <v>185</v>
      </c>
      <c r="J52" s="176" t="s">
        <v>242</v>
      </c>
      <c r="K52" s="177">
        <v>4</v>
      </c>
      <c r="M52" s="244">
        <v>1</v>
      </c>
      <c r="N52" s="119">
        <v>0</v>
      </c>
      <c r="O52" s="120">
        <v>0</v>
      </c>
      <c r="P52" s="120">
        <v>0</v>
      </c>
      <c r="Q52" s="120">
        <v>0</v>
      </c>
      <c r="R52" s="120">
        <v>0</v>
      </c>
      <c r="S52" s="120">
        <v>0</v>
      </c>
      <c r="T52" s="120">
        <v>0</v>
      </c>
      <c r="U52" s="120">
        <v>0</v>
      </c>
      <c r="V52" s="120">
        <v>0</v>
      </c>
      <c r="W52" s="120">
        <v>0</v>
      </c>
      <c r="X52" s="120">
        <v>0</v>
      </c>
      <c r="Y52" s="120">
        <v>0</v>
      </c>
      <c r="Z52" s="120">
        <v>0</v>
      </c>
      <c r="AA52" s="120">
        <v>0</v>
      </c>
      <c r="AB52" s="165"/>
      <c r="AC52" s="245">
        <v>0</v>
      </c>
      <c r="AD52" s="245">
        <v>0</v>
      </c>
      <c r="AE52" s="245">
        <v>0</v>
      </c>
      <c r="AF52" s="245">
        <v>0</v>
      </c>
      <c r="AG52" s="245">
        <v>0</v>
      </c>
      <c r="AH52" s="245">
        <v>0</v>
      </c>
      <c r="AI52" s="245">
        <v>0</v>
      </c>
      <c r="AJ52" s="245">
        <v>0</v>
      </c>
      <c r="AK52" s="245">
        <v>0</v>
      </c>
      <c r="AL52" s="245">
        <v>0</v>
      </c>
      <c r="AM52" s="245">
        <v>0</v>
      </c>
      <c r="AN52" s="245">
        <v>0</v>
      </c>
      <c r="AO52" s="245">
        <v>0</v>
      </c>
      <c r="AP52" s="245">
        <v>0</v>
      </c>
      <c r="AQ52" s="165"/>
      <c r="AR52" s="121">
        <v>0</v>
      </c>
      <c r="AS52" s="121">
        <v>0</v>
      </c>
      <c r="AT52" s="121">
        <v>0</v>
      </c>
      <c r="AU52" s="121">
        <v>0</v>
      </c>
      <c r="AV52" s="121">
        <v>0</v>
      </c>
      <c r="AW52" s="121">
        <v>0</v>
      </c>
      <c r="AX52" s="121">
        <v>0</v>
      </c>
      <c r="AY52" s="121">
        <v>0</v>
      </c>
      <c r="AZ52" s="121">
        <v>0</v>
      </c>
      <c r="BA52" s="121">
        <v>0</v>
      </c>
      <c r="BB52" s="121">
        <v>0</v>
      </c>
      <c r="BC52" s="121">
        <v>0</v>
      </c>
      <c r="BD52" s="121">
        <v>0</v>
      </c>
      <c r="BE52" s="121">
        <v>0</v>
      </c>
      <c r="BF52" s="153"/>
      <c r="BG52" s="288">
        <v>0</v>
      </c>
      <c r="BH52" s="289">
        <v>0</v>
      </c>
      <c r="BI52" s="289">
        <v>0</v>
      </c>
      <c r="BJ52" s="289">
        <v>0</v>
      </c>
      <c r="BK52" s="289">
        <v>0</v>
      </c>
      <c r="BL52" s="289">
        <v>0</v>
      </c>
      <c r="BM52" s="289">
        <v>0</v>
      </c>
      <c r="BN52" s="289">
        <v>0</v>
      </c>
      <c r="BO52" s="289">
        <v>0</v>
      </c>
      <c r="BP52" s="289">
        <v>0</v>
      </c>
      <c r="BQ52" s="289">
        <v>0</v>
      </c>
      <c r="BR52" s="289">
        <v>0</v>
      </c>
      <c r="BS52" s="289">
        <v>0</v>
      </c>
      <c r="BT52" s="289">
        <v>0</v>
      </c>
      <c r="BU52" s="169"/>
      <c r="BV52" s="218">
        <v>1</v>
      </c>
      <c r="BW52" s="219">
        <v>1</v>
      </c>
      <c r="BX52" s="219">
        <v>1</v>
      </c>
      <c r="BY52" s="219">
        <v>1</v>
      </c>
      <c r="BZ52" s="219">
        <v>1</v>
      </c>
      <c r="CA52" s="219">
        <v>1</v>
      </c>
      <c r="CB52" s="219">
        <v>1</v>
      </c>
      <c r="CC52" s="219">
        <v>1</v>
      </c>
      <c r="CD52" s="219">
        <v>1</v>
      </c>
      <c r="CE52" s="219">
        <v>1</v>
      </c>
      <c r="CF52" s="219">
        <v>1</v>
      </c>
      <c r="CG52" s="219">
        <v>1</v>
      </c>
      <c r="CH52" s="219">
        <v>1</v>
      </c>
      <c r="CI52" s="220">
        <v>1</v>
      </c>
      <c r="CJ52" s="249">
        <v>1</v>
      </c>
      <c r="CK52" s="250">
        <v>1</v>
      </c>
      <c r="CL52" s="250">
        <v>1</v>
      </c>
      <c r="CM52" s="250">
        <v>1</v>
      </c>
      <c r="CN52" s="250">
        <v>1</v>
      </c>
      <c r="CO52" s="284">
        <v>1</v>
      </c>
      <c r="CP52" s="284">
        <v>1</v>
      </c>
      <c r="CQ52" s="284">
        <v>1</v>
      </c>
      <c r="CR52" s="284">
        <v>1</v>
      </c>
      <c r="CS52" s="284">
        <v>1</v>
      </c>
      <c r="CT52" s="284">
        <v>1</v>
      </c>
      <c r="CU52" s="284">
        <v>1</v>
      </c>
      <c r="CV52" s="284">
        <v>1</v>
      </c>
      <c r="CW52" s="284">
        <v>1</v>
      </c>
      <c r="CX52" s="249">
        <v>1</v>
      </c>
      <c r="CY52" s="251">
        <v>1</v>
      </c>
      <c r="CZ52" s="127"/>
      <c r="DA52" s="187">
        <v>0</v>
      </c>
      <c r="DB52" s="127" t="s">
        <v>243</v>
      </c>
      <c r="DC52" s="98"/>
      <c r="DD52" s="107"/>
      <c r="DE52" s="107"/>
      <c r="DF52" s="107"/>
      <c r="DG52" s="99"/>
      <c r="DH52" s="107"/>
      <c r="DI52" s="107"/>
    </row>
    <row r="53" spans="1:113" x14ac:dyDescent="0.35">
      <c r="A53" s="62" t="s">
        <v>147</v>
      </c>
      <c r="B53" s="46" t="s">
        <v>178</v>
      </c>
      <c r="C53" s="345"/>
      <c r="D53" s="253" t="s">
        <v>244</v>
      </c>
      <c r="E53" s="282" t="s">
        <v>245</v>
      </c>
      <c r="F53" s="290" t="s">
        <v>246</v>
      </c>
      <c r="G53" s="241">
        <v>0.85</v>
      </c>
      <c r="H53" s="176" t="s">
        <v>137</v>
      </c>
      <c r="I53" s="176" t="s">
        <v>247</v>
      </c>
      <c r="J53" s="176" t="s">
        <v>242</v>
      </c>
      <c r="K53" s="177">
        <v>7</v>
      </c>
      <c r="M53" s="244">
        <v>1</v>
      </c>
      <c r="N53" s="119">
        <v>4.8</v>
      </c>
      <c r="O53" s="120">
        <v>3.25</v>
      </c>
      <c r="P53" s="120">
        <v>0</v>
      </c>
      <c r="Q53" s="120">
        <v>0</v>
      </c>
      <c r="R53" s="120">
        <v>0</v>
      </c>
      <c r="S53" s="120">
        <v>0</v>
      </c>
      <c r="T53" s="120">
        <v>0</v>
      </c>
      <c r="U53" s="120">
        <v>0</v>
      </c>
      <c r="V53" s="120">
        <v>0</v>
      </c>
      <c r="W53" s="120">
        <v>0</v>
      </c>
      <c r="X53" s="120">
        <v>0</v>
      </c>
      <c r="Y53" s="120">
        <v>0</v>
      </c>
      <c r="Z53" s="120">
        <v>0</v>
      </c>
      <c r="AA53" s="120">
        <v>0</v>
      </c>
      <c r="AB53" s="165"/>
      <c r="AC53" s="245">
        <v>1.699346405228758E-2</v>
      </c>
      <c r="AD53" s="245">
        <v>1.150599128540305E-2</v>
      </c>
      <c r="AE53" s="245">
        <v>0</v>
      </c>
      <c r="AF53" s="245">
        <v>0</v>
      </c>
      <c r="AG53" s="245">
        <v>0</v>
      </c>
      <c r="AH53" s="245">
        <v>0</v>
      </c>
      <c r="AI53" s="245">
        <v>0</v>
      </c>
      <c r="AJ53" s="245">
        <v>0</v>
      </c>
      <c r="AK53" s="245">
        <v>0</v>
      </c>
      <c r="AL53" s="245">
        <v>0</v>
      </c>
      <c r="AM53" s="245">
        <v>0</v>
      </c>
      <c r="AN53" s="245">
        <v>0</v>
      </c>
      <c r="AO53" s="245">
        <v>0</v>
      </c>
      <c r="AP53" s="245">
        <v>0</v>
      </c>
      <c r="AQ53" s="165"/>
      <c r="AR53" s="121">
        <v>1.699346405228758E-2</v>
      </c>
      <c r="AS53" s="121">
        <v>5.3104575163398747E-3</v>
      </c>
      <c r="AT53" s="121">
        <v>0</v>
      </c>
      <c r="AU53" s="121">
        <v>1.4161220043572981E-3</v>
      </c>
      <c r="AV53" s="121">
        <v>0</v>
      </c>
      <c r="AW53" s="121">
        <v>0</v>
      </c>
      <c r="AX53" s="121">
        <v>0</v>
      </c>
      <c r="AY53" s="121">
        <v>0</v>
      </c>
      <c r="AZ53" s="121">
        <v>0</v>
      </c>
      <c r="BA53" s="121">
        <v>0</v>
      </c>
      <c r="BB53" s="121">
        <v>0</v>
      </c>
      <c r="BC53" s="121">
        <v>0</v>
      </c>
      <c r="BD53" s="121">
        <v>0</v>
      </c>
      <c r="BE53" s="121">
        <v>0</v>
      </c>
      <c r="BF53" s="153"/>
      <c r="BG53" s="288">
        <v>1.699346405228758E-2</v>
      </c>
      <c r="BH53" s="289">
        <v>1.150599128540305E-2</v>
      </c>
      <c r="BI53" s="289">
        <v>0</v>
      </c>
      <c r="BJ53" s="289">
        <v>0</v>
      </c>
      <c r="BK53" s="289">
        <v>0</v>
      </c>
      <c r="BL53" s="289">
        <v>0</v>
      </c>
      <c r="BM53" s="289">
        <v>0</v>
      </c>
      <c r="BN53" s="289">
        <v>0</v>
      </c>
      <c r="BO53" s="289">
        <v>0</v>
      </c>
      <c r="BP53" s="289">
        <v>0</v>
      </c>
      <c r="BQ53" s="289">
        <v>0</v>
      </c>
      <c r="BR53" s="289">
        <v>0</v>
      </c>
      <c r="BS53" s="289">
        <v>0</v>
      </c>
      <c r="BT53" s="289">
        <v>0</v>
      </c>
      <c r="BU53" s="169"/>
      <c r="BV53" s="218">
        <v>1</v>
      </c>
      <c r="BW53" s="219">
        <v>1</v>
      </c>
      <c r="BX53" s="219">
        <v>1</v>
      </c>
      <c r="BY53" s="219">
        <v>1</v>
      </c>
      <c r="BZ53" s="219">
        <v>1</v>
      </c>
      <c r="CA53" s="219">
        <v>1</v>
      </c>
      <c r="CB53" s="219">
        <v>1</v>
      </c>
      <c r="CC53" s="219">
        <v>1</v>
      </c>
      <c r="CD53" s="219">
        <v>1</v>
      </c>
      <c r="CE53" s="219">
        <v>1</v>
      </c>
      <c r="CF53" s="219">
        <v>1</v>
      </c>
      <c r="CG53" s="219">
        <v>1</v>
      </c>
      <c r="CH53" s="219">
        <v>1</v>
      </c>
      <c r="CI53" s="220">
        <v>1</v>
      </c>
      <c r="CJ53" s="249">
        <v>0.98300653594771237</v>
      </c>
      <c r="CK53" s="250">
        <v>0.98849400871459692</v>
      </c>
      <c r="CL53" s="250">
        <v>1</v>
      </c>
      <c r="CM53" s="250">
        <v>1</v>
      </c>
      <c r="CN53" s="250">
        <v>1</v>
      </c>
      <c r="CO53" s="250">
        <v>1</v>
      </c>
      <c r="CP53" s="250">
        <v>1</v>
      </c>
      <c r="CQ53" s="250">
        <v>1</v>
      </c>
      <c r="CR53" s="250">
        <v>1</v>
      </c>
      <c r="CS53" s="250">
        <v>1</v>
      </c>
      <c r="CT53" s="250">
        <v>1</v>
      </c>
      <c r="CU53" s="250">
        <v>1</v>
      </c>
      <c r="CV53" s="250">
        <v>1</v>
      </c>
      <c r="CW53" s="250">
        <v>1</v>
      </c>
      <c r="CX53" s="249">
        <v>0.99592864923747271</v>
      </c>
      <c r="CY53" s="251">
        <v>1</v>
      </c>
      <c r="CZ53" s="127"/>
      <c r="DA53" s="187">
        <v>4.0713507625272927E-3</v>
      </c>
      <c r="DB53" s="127" t="s">
        <v>248</v>
      </c>
      <c r="DD53" s="107"/>
      <c r="DE53" s="107"/>
      <c r="DF53" s="107"/>
      <c r="DG53" s="99"/>
      <c r="DH53" s="107"/>
      <c r="DI53" s="107"/>
    </row>
    <row r="54" spans="1:113" x14ac:dyDescent="0.35">
      <c r="A54" s="62" t="s">
        <v>147</v>
      </c>
      <c r="B54" s="46" t="s">
        <v>178</v>
      </c>
      <c r="C54" s="345"/>
      <c r="D54" s="253" t="s">
        <v>249</v>
      </c>
      <c r="E54" s="282" t="s">
        <v>250</v>
      </c>
      <c r="F54" s="290" t="s">
        <v>251</v>
      </c>
      <c r="G54" s="241">
        <v>0.85</v>
      </c>
      <c r="H54" s="176" t="s">
        <v>137</v>
      </c>
      <c r="I54" s="176" t="s">
        <v>252</v>
      </c>
      <c r="J54" s="176" t="s">
        <v>242</v>
      </c>
      <c r="K54" s="177">
        <v>8</v>
      </c>
      <c r="M54" s="244">
        <v>8</v>
      </c>
      <c r="N54" s="119">
        <v>65</v>
      </c>
      <c r="O54" s="120">
        <v>310.5</v>
      </c>
      <c r="P54" s="120">
        <v>164.5</v>
      </c>
      <c r="Q54" s="120">
        <v>177</v>
      </c>
      <c r="R54" s="120">
        <v>248</v>
      </c>
      <c r="S54" s="120">
        <v>196</v>
      </c>
      <c r="T54" s="120">
        <v>106</v>
      </c>
      <c r="U54" s="120">
        <v>94</v>
      </c>
      <c r="V54" s="120">
        <v>115</v>
      </c>
      <c r="W54" s="120">
        <v>157</v>
      </c>
      <c r="X54" s="120">
        <v>74</v>
      </c>
      <c r="Y54" s="120">
        <v>76</v>
      </c>
      <c r="Z54" s="120">
        <v>103</v>
      </c>
      <c r="AA54" s="120">
        <v>111</v>
      </c>
      <c r="AB54" s="165"/>
      <c r="AC54" s="245">
        <v>0.90152565880721203</v>
      </c>
      <c r="AD54" s="245">
        <v>3.712226176878525</v>
      </c>
      <c r="AE54" s="245">
        <v>1.843653626499143</v>
      </c>
      <c r="AF54" s="245">
        <v>1.9555471476616539</v>
      </c>
      <c r="AG54" s="245">
        <v>2.6308930611079502</v>
      </c>
      <c r="AH54" s="245">
        <v>2.0794704046667198</v>
      </c>
      <c r="AI54" s="245">
        <v>1.193141674145386</v>
      </c>
      <c r="AJ54" s="245">
        <v>1.013301072856327</v>
      </c>
      <c r="AK54" s="245">
        <v>1.295626478746837</v>
      </c>
      <c r="AL54" s="245">
        <v>1.7351630700824019</v>
      </c>
      <c r="AM54" s="245">
        <v>1.295626478746837</v>
      </c>
      <c r="AN54" s="245">
        <v>1.193141674145386</v>
      </c>
      <c r="AO54" s="245">
        <v>1.013301072856327</v>
      </c>
      <c r="AP54" s="245">
        <v>1.295626478746837</v>
      </c>
      <c r="AQ54" s="165"/>
      <c r="AR54" s="121">
        <v>1.15597464714041</v>
      </c>
      <c r="AS54" s="121">
        <v>3.2031754813575999</v>
      </c>
      <c r="AT54" s="121">
        <v>1.985352757607898</v>
      </c>
      <c r="AU54" s="121">
        <v>1.6262202890865081</v>
      </c>
      <c r="AV54" s="121">
        <v>2.6308930611079502</v>
      </c>
      <c r="AW54" s="121">
        <v>2.0794704046667198</v>
      </c>
      <c r="AX54" s="121">
        <v>1.193141674145386</v>
      </c>
      <c r="AY54" s="121">
        <v>1.013301072856327</v>
      </c>
      <c r="AZ54" s="121">
        <v>1.295626478746837</v>
      </c>
      <c r="BA54" s="121">
        <v>1.7351630700824019</v>
      </c>
      <c r="BB54" s="121">
        <v>0.76271875254956245</v>
      </c>
      <c r="BC54" s="121">
        <v>0.79045800358978502</v>
      </c>
      <c r="BD54" s="121">
        <v>1.0085451170759561</v>
      </c>
      <c r="BE54" s="121">
        <v>1.0792868360936601</v>
      </c>
      <c r="BF54" s="153"/>
      <c r="BG54" s="288">
        <v>0.1126907073509015</v>
      </c>
      <c r="BH54" s="289">
        <v>0.46402827210981562</v>
      </c>
      <c r="BI54" s="289">
        <v>0.30727560441652368</v>
      </c>
      <c r="BJ54" s="289">
        <v>0.32592452461027571</v>
      </c>
      <c r="BK54" s="289">
        <v>0.43848217685132501</v>
      </c>
      <c r="BL54" s="289">
        <v>0.34657840077778662</v>
      </c>
      <c r="BM54" s="289">
        <v>0.19885694569089771</v>
      </c>
      <c r="BN54" s="289">
        <v>0.1427491351171184</v>
      </c>
      <c r="BO54" s="289">
        <v>0.34657840077778662</v>
      </c>
      <c r="BP54" s="289">
        <v>0.19885694569089771</v>
      </c>
      <c r="BQ54" s="289">
        <v>0.1427491351171184</v>
      </c>
      <c r="BR54" s="289">
        <v>0.30216763574614791</v>
      </c>
      <c r="BS54" s="289">
        <v>0.41747316372501653</v>
      </c>
      <c r="BT54" s="289">
        <v>0.32034654032318771</v>
      </c>
      <c r="BU54" s="169"/>
      <c r="BV54" s="218">
        <v>8</v>
      </c>
      <c r="BW54" s="219">
        <v>8</v>
      </c>
      <c r="BX54" s="219">
        <v>6</v>
      </c>
      <c r="BY54" s="219">
        <v>6</v>
      </c>
      <c r="BZ54" s="219">
        <v>6</v>
      </c>
      <c r="CA54" s="219">
        <v>6</v>
      </c>
      <c r="CB54" s="219">
        <v>6</v>
      </c>
      <c r="CC54" s="219">
        <v>6</v>
      </c>
      <c r="CD54" s="219">
        <v>6</v>
      </c>
      <c r="CE54" s="219">
        <v>6</v>
      </c>
      <c r="CF54" s="219">
        <v>6</v>
      </c>
      <c r="CG54" s="219">
        <v>6</v>
      </c>
      <c r="CH54" s="219">
        <v>6</v>
      </c>
      <c r="CI54" s="220">
        <v>6</v>
      </c>
      <c r="CJ54" s="249">
        <v>7.0984743411927882</v>
      </c>
      <c r="CK54" s="250">
        <v>4.2877738231214746</v>
      </c>
      <c r="CL54" s="250">
        <v>4.1563463735008579</v>
      </c>
      <c r="CM54" s="250">
        <v>4.0444528523383463</v>
      </c>
      <c r="CN54" s="250">
        <v>3.3691069388920498</v>
      </c>
      <c r="CO54" s="250">
        <v>3.9205295953332802</v>
      </c>
      <c r="CP54" s="250">
        <v>4.8068583258546136</v>
      </c>
      <c r="CQ54" s="250">
        <v>4.9866989271436726</v>
      </c>
      <c r="CR54" s="250">
        <v>4.7043735212531628</v>
      </c>
      <c r="CS54" s="250">
        <v>4.2648369299175979</v>
      </c>
      <c r="CT54" s="250">
        <v>4.7043735212531628</v>
      </c>
      <c r="CU54" s="250">
        <v>4.8068583258546136</v>
      </c>
      <c r="CV54" s="250">
        <v>4.9866989271436726</v>
      </c>
      <c r="CW54" s="250">
        <v>4.7043735212531628</v>
      </c>
      <c r="CX54" s="249">
        <v>4.5262203214619161</v>
      </c>
      <c r="CY54" s="251">
        <v>7.0984743411927882</v>
      </c>
      <c r="CZ54" s="127"/>
      <c r="DA54" s="187">
        <v>0.31122734238623012</v>
      </c>
      <c r="DB54" s="127" t="s">
        <v>253</v>
      </c>
      <c r="DD54" s="107"/>
      <c r="DE54" s="107"/>
      <c r="DF54" s="107"/>
      <c r="DG54" s="99"/>
      <c r="DH54" s="107"/>
      <c r="DI54" s="107"/>
    </row>
    <row r="55" spans="1:113" x14ac:dyDescent="0.35">
      <c r="A55" s="62" t="s">
        <v>254</v>
      </c>
      <c r="B55" s="46" t="s">
        <v>178</v>
      </c>
      <c r="C55" s="345"/>
      <c r="D55" s="253" t="s">
        <v>255</v>
      </c>
      <c r="E55" s="282" t="s">
        <v>256</v>
      </c>
      <c r="F55" s="290" t="s">
        <v>257</v>
      </c>
      <c r="G55" s="241">
        <v>0.85</v>
      </c>
      <c r="H55" s="176" t="s">
        <v>137</v>
      </c>
      <c r="I55" s="176" t="s">
        <v>252</v>
      </c>
      <c r="J55" s="176" t="s">
        <v>242</v>
      </c>
      <c r="K55" s="177">
        <v>15</v>
      </c>
      <c r="M55" s="244">
        <v>7</v>
      </c>
      <c r="N55" s="119">
        <v>75</v>
      </c>
      <c r="O55" s="120">
        <v>326.75</v>
      </c>
      <c r="P55" s="120">
        <v>180.75</v>
      </c>
      <c r="Q55" s="120">
        <v>192</v>
      </c>
      <c r="R55" s="120">
        <v>264.25</v>
      </c>
      <c r="S55" s="120">
        <v>206</v>
      </c>
      <c r="T55" s="120">
        <v>121</v>
      </c>
      <c r="U55" s="120">
        <v>104</v>
      </c>
      <c r="V55" s="120">
        <v>125</v>
      </c>
      <c r="W55" s="120">
        <v>167</v>
      </c>
      <c r="X55" s="120">
        <v>84</v>
      </c>
      <c r="Y55" s="120">
        <v>86</v>
      </c>
      <c r="Z55" s="120">
        <v>113</v>
      </c>
      <c r="AA55" s="120">
        <v>121</v>
      </c>
      <c r="AB55" s="165"/>
      <c r="AC55" s="245">
        <v>1.0315515094926859</v>
      </c>
      <c r="AD55" s="245">
        <v>5.4274704326174854</v>
      </c>
      <c r="AE55" s="245">
        <v>2.4956307536035238</v>
      </c>
      <c r="AF55" s="245">
        <v>2.792906270667987</v>
      </c>
      <c r="AG55" s="245">
        <v>4.7337145969498842</v>
      </c>
      <c r="AH55" s="245">
        <v>3.7404761904761998</v>
      </c>
      <c r="AI55" s="245">
        <v>1.979878618113913</v>
      </c>
      <c r="AJ55" s="245">
        <v>1.8029878618113899</v>
      </c>
      <c r="AK55" s="245">
        <v>2.1294662309368202</v>
      </c>
      <c r="AL55" s="245">
        <v>2.9266495487083799</v>
      </c>
      <c r="AM55" s="245">
        <v>2.1294662309368202</v>
      </c>
      <c r="AN55" s="245">
        <v>1.979878618113913</v>
      </c>
      <c r="AO55" s="245">
        <v>1.8029878618113899</v>
      </c>
      <c r="AP55" s="245">
        <v>2.1294662309368202</v>
      </c>
      <c r="AQ55" s="165"/>
      <c r="AR55" s="121">
        <v>1.5578042328042321</v>
      </c>
      <c r="AS55" s="121">
        <v>5.4399626517273587</v>
      </c>
      <c r="AT55" s="121">
        <v>2.517508210966684</v>
      </c>
      <c r="AU55" s="121">
        <v>2.2960516748366069</v>
      </c>
      <c r="AV55" s="121">
        <v>4.7337145969498842</v>
      </c>
      <c r="AW55" s="121">
        <v>3.7404761904761998</v>
      </c>
      <c r="AX55" s="121">
        <v>1.979878618113913</v>
      </c>
      <c r="AY55" s="121">
        <v>1.8029878618113899</v>
      </c>
      <c r="AZ55" s="121">
        <v>2.1294662309368202</v>
      </c>
      <c r="BA55" s="121">
        <v>2.9266495487083799</v>
      </c>
      <c r="BB55" s="121">
        <v>1.470961718020543</v>
      </c>
      <c r="BC55" s="121">
        <v>1.5010737628384681</v>
      </c>
      <c r="BD55" s="121">
        <v>2.0878695922813599</v>
      </c>
      <c r="BE55" s="121">
        <v>2.2546763149704319</v>
      </c>
      <c r="BF55" s="153"/>
      <c r="BG55" s="288">
        <v>0.14736450135609799</v>
      </c>
      <c r="BH55" s="289">
        <v>0.77535291894535496</v>
      </c>
      <c r="BI55" s="289">
        <v>0.41593845893392062</v>
      </c>
      <c r="BJ55" s="289">
        <v>0.4654843784446645</v>
      </c>
      <c r="BK55" s="289">
        <v>0.78895243282498073</v>
      </c>
      <c r="BL55" s="289">
        <v>0.62341269841269997</v>
      </c>
      <c r="BM55" s="289">
        <v>0.32997976968565212</v>
      </c>
      <c r="BN55" s="289">
        <v>0.30208652461003938</v>
      </c>
      <c r="BO55" s="289">
        <v>0.62341269841269997</v>
      </c>
      <c r="BP55" s="289">
        <v>0.32997976968565212</v>
      </c>
      <c r="BQ55" s="289">
        <v>0.30208652461003938</v>
      </c>
      <c r="BR55" s="289">
        <v>1.3541660997073199</v>
      </c>
      <c r="BS55" s="289">
        <v>0.8351430294389891</v>
      </c>
      <c r="BT55" s="289">
        <v>0.66398627874850247</v>
      </c>
      <c r="BU55" s="169"/>
      <c r="BV55" s="218">
        <v>7</v>
      </c>
      <c r="BW55" s="219">
        <v>7</v>
      </c>
      <c r="BX55" s="219">
        <v>6</v>
      </c>
      <c r="BY55" s="219">
        <v>6</v>
      </c>
      <c r="BZ55" s="219">
        <v>6</v>
      </c>
      <c r="CA55" s="219">
        <v>6</v>
      </c>
      <c r="CB55" s="219">
        <v>6</v>
      </c>
      <c r="CC55" s="219">
        <v>6</v>
      </c>
      <c r="CD55" s="219">
        <v>6</v>
      </c>
      <c r="CE55" s="219">
        <v>6</v>
      </c>
      <c r="CF55" s="219">
        <v>6</v>
      </c>
      <c r="CG55" s="219">
        <v>6</v>
      </c>
      <c r="CH55" s="219">
        <v>6</v>
      </c>
      <c r="CI55" s="220">
        <v>6</v>
      </c>
      <c r="CJ55" s="249">
        <v>5.9684484905073134</v>
      </c>
      <c r="CK55" s="250">
        <v>1.572529567382515</v>
      </c>
      <c r="CL55" s="250">
        <v>3.5043692463964762</v>
      </c>
      <c r="CM55" s="250">
        <v>3.207093729332013</v>
      </c>
      <c r="CN55" s="250">
        <v>1.2662854030501161</v>
      </c>
      <c r="CO55" s="284">
        <v>2.2595238095238002</v>
      </c>
      <c r="CP55" s="284">
        <v>4.0201213818860868</v>
      </c>
      <c r="CQ55" s="284">
        <v>4.1970121381886099</v>
      </c>
      <c r="CR55" s="284">
        <v>3.8705337690631798</v>
      </c>
      <c r="CS55" s="284">
        <v>3.0733504512916201</v>
      </c>
      <c r="CT55" s="284">
        <v>3.8705337690631798</v>
      </c>
      <c r="CU55" s="284">
        <v>4.0201213818860868</v>
      </c>
      <c r="CV55" s="284">
        <v>4.1970121381886099</v>
      </c>
      <c r="CW55" s="284">
        <v>3.8705337690631798</v>
      </c>
      <c r="CX55" s="249">
        <v>3.1140530897254739</v>
      </c>
      <c r="CY55" s="251">
        <v>5.9684484905073134</v>
      </c>
      <c r="CZ55" s="127"/>
      <c r="DA55" s="187">
        <v>0.50458246299821996</v>
      </c>
      <c r="DB55" s="127" t="s">
        <v>258</v>
      </c>
      <c r="DC55" s="98"/>
      <c r="DD55" s="107"/>
      <c r="DE55" s="107"/>
      <c r="DF55" s="107"/>
      <c r="DG55" s="99"/>
      <c r="DH55" s="107"/>
      <c r="DI55" s="107"/>
    </row>
    <row r="56" spans="1:113" x14ac:dyDescent="0.35">
      <c r="A56" s="62" t="s">
        <v>254</v>
      </c>
      <c r="B56" s="46" t="s">
        <v>178</v>
      </c>
      <c r="C56" s="345"/>
      <c r="D56" s="253" t="s">
        <v>56</v>
      </c>
      <c r="E56" s="291" t="s">
        <v>57</v>
      </c>
      <c r="F56" s="292"/>
      <c r="G56" s="293">
        <v>0.85</v>
      </c>
      <c r="H56" s="294" t="s">
        <v>114</v>
      </c>
      <c r="I56" s="294" t="s">
        <v>181</v>
      </c>
      <c r="J56" s="294" t="s">
        <v>110</v>
      </c>
      <c r="K56" s="295">
        <v>2</v>
      </c>
      <c r="L56" s="115"/>
      <c r="M56" s="296">
        <v>3</v>
      </c>
      <c r="N56" s="119">
        <v>370</v>
      </c>
      <c r="O56" s="120">
        <v>466</v>
      </c>
      <c r="P56" s="120">
        <v>2</v>
      </c>
      <c r="Q56" s="120">
        <v>845</v>
      </c>
      <c r="R56" s="120">
        <v>1060</v>
      </c>
      <c r="S56" s="120">
        <v>1051</v>
      </c>
      <c r="T56" s="120">
        <v>607</v>
      </c>
      <c r="U56" s="120">
        <v>856</v>
      </c>
      <c r="V56" s="120">
        <v>773</v>
      </c>
      <c r="W56" s="120">
        <v>617</v>
      </c>
      <c r="X56" s="120">
        <v>772</v>
      </c>
      <c r="Y56" s="120">
        <v>771</v>
      </c>
      <c r="Z56" s="120">
        <v>308.39999999999998</v>
      </c>
      <c r="AA56" s="120">
        <v>0</v>
      </c>
      <c r="AB56" s="165"/>
      <c r="AC56" s="245">
        <v>1.94134149696423</v>
      </c>
      <c r="AD56" s="245">
        <v>2.140285126396237</v>
      </c>
      <c r="AE56" s="245">
        <v>5.7580468705015257E-2</v>
      </c>
      <c r="AF56" s="245">
        <v>4.1471599500116199</v>
      </c>
      <c r="AG56" s="245">
        <v>5.2556172946136748</v>
      </c>
      <c r="AH56" s="245">
        <v>4.9965051854410998</v>
      </c>
      <c r="AI56" s="245">
        <v>3.0540529541268402</v>
      </c>
      <c r="AJ56" s="245">
        <v>4.2702737453677999</v>
      </c>
      <c r="AK56" s="245">
        <v>3.9132615105844999</v>
      </c>
      <c r="AL56" s="245">
        <v>3.0999818195001598</v>
      </c>
      <c r="AM56" s="245">
        <v>3.9132615105844999</v>
      </c>
      <c r="AN56" s="245">
        <v>3.0540529541268402</v>
      </c>
      <c r="AO56" s="245">
        <v>4.2702737453677999</v>
      </c>
      <c r="AP56" s="245">
        <v>3.9132615105844999</v>
      </c>
      <c r="AQ56" s="165"/>
      <c r="AR56" s="121">
        <v>1.94134149696423</v>
      </c>
      <c r="AS56" s="121">
        <v>2.140285126396237</v>
      </c>
      <c r="AT56" s="121">
        <v>2.4684498129345651</v>
      </c>
      <c r="AU56" s="121">
        <v>4.0032087782490802</v>
      </c>
      <c r="AV56" s="121">
        <v>3.9611581529322999</v>
      </c>
      <c r="AW56" s="121">
        <v>3.9912141801501</v>
      </c>
      <c r="AX56" s="121">
        <v>3.2871511316694799</v>
      </c>
      <c r="AY56" s="121">
        <v>3.9550180134453998</v>
      </c>
      <c r="AZ56" s="121">
        <v>3.9132615105844999</v>
      </c>
      <c r="BA56" s="121">
        <v>3.0999818195001598</v>
      </c>
      <c r="BB56" s="121">
        <v>3.8844712762319999</v>
      </c>
      <c r="BC56" s="121">
        <v>3.8556810418794751</v>
      </c>
      <c r="BD56" s="121">
        <v>1.5422724167517941</v>
      </c>
      <c r="BE56" s="121">
        <v>0</v>
      </c>
      <c r="BF56" s="153"/>
      <c r="BG56" s="297">
        <v>0.64711383232140995</v>
      </c>
      <c r="BH56" s="298">
        <v>0.71342837546541249</v>
      </c>
      <c r="BI56" s="298">
        <v>1.9193489568338419E-2</v>
      </c>
      <c r="BJ56" s="298">
        <v>1.036789987502905</v>
      </c>
      <c r="BK56" s="298">
        <v>1.3139043236534189</v>
      </c>
      <c r="BL56" s="298">
        <v>1.2491262963602749</v>
      </c>
      <c r="BM56" s="298">
        <v>0.76351323853170994</v>
      </c>
      <c r="BN56" s="298">
        <v>4.0336649950125754</v>
      </c>
      <c r="BO56" s="298">
        <v>1.2491262963602749</v>
      </c>
      <c r="BP56" s="298">
        <v>0.76351323853170994</v>
      </c>
      <c r="BQ56" s="298">
        <v>4.0336649950125754</v>
      </c>
      <c r="BR56" s="298">
        <v>4.5518132007892884</v>
      </c>
      <c r="BS56" s="298">
        <v>1.0535485461979079</v>
      </c>
      <c r="BT56" s="298">
        <v>-26.59189208935927</v>
      </c>
      <c r="BU56" s="169"/>
      <c r="BV56" s="172">
        <v>3</v>
      </c>
      <c r="BW56" s="210">
        <v>3</v>
      </c>
      <c r="BX56" s="210">
        <v>3</v>
      </c>
      <c r="BY56" s="210">
        <v>4</v>
      </c>
      <c r="BZ56" s="210">
        <v>4</v>
      </c>
      <c r="CA56" s="210">
        <v>4</v>
      </c>
      <c r="CB56" s="210">
        <v>4</v>
      </c>
      <c r="CC56" s="210">
        <v>4</v>
      </c>
      <c r="CD56" s="210">
        <v>4</v>
      </c>
      <c r="CE56" s="210">
        <v>4</v>
      </c>
      <c r="CF56" s="210">
        <v>4</v>
      </c>
      <c r="CG56" s="210">
        <v>4</v>
      </c>
      <c r="CH56" s="210">
        <v>4</v>
      </c>
      <c r="CI56" s="211">
        <v>4</v>
      </c>
      <c r="CJ56" s="249">
        <v>1.05865850303577</v>
      </c>
      <c r="CK56" s="250">
        <v>0.85971487360376253</v>
      </c>
      <c r="CL56" s="250">
        <v>2.942419531294985</v>
      </c>
      <c r="CM56" s="250">
        <v>-0.14715995001161991</v>
      </c>
      <c r="CN56" s="250">
        <v>-1.255617294613675</v>
      </c>
      <c r="CO56" s="284">
        <v>-0.99650518544109978</v>
      </c>
      <c r="CP56" s="284">
        <v>0.94594704587316025</v>
      </c>
      <c r="CQ56" s="284">
        <v>-0.27027374536779991</v>
      </c>
      <c r="CR56" s="284">
        <v>8.6738489415500108E-2</v>
      </c>
      <c r="CS56" s="284">
        <v>0.90001818049983973</v>
      </c>
      <c r="CT56" s="284">
        <v>8.6738489415500108E-2</v>
      </c>
      <c r="CU56" s="284">
        <v>0.94594704587316025</v>
      </c>
      <c r="CV56" s="284">
        <v>-0.27027374536779991</v>
      </c>
      <c r="CW56" s="284">
        <v>8.6738489415500108E-2</v>
      </c>
      <c r="CX56" s="249">
        <v>0.48677964624875469</v>
      </c>
      <c r="CY56" s="251">
        <v>2.942419531294985</v>
      </c>
      <c r="CZ56" s="152"/>
      <c r="DA56" s="299">
        <v>0.86370169905034866</v>
      </c>
      <c r="DB56" s="152" t="s">
        <v>259</v>
      </c>
      <c r="DC56" s="91"/>
      <c r="DD56" s="107"/>
      <c r="DE56" s="107"/>
      <c r="DF56" s="107"/>
      <c r="DG56" s="99"/>
      <c r="DH56" s="107"/>
      <c r="DI56" s="107"/>
    </row>
    <row r="57" spans="1:113" x14ac:dyDescent="0.35">
      <c r="B57" s="46" t="s">
        <v>178</v>
      </c>
      <c r="C57" s="345"/>
      <c r="D57" s="253" t="s">
        <v>260</v>
      </c>
      <c r="E57" s="291" t="s">
        <v>55</v>
      </c>
      <c r="F57" s="285" t="s">
        <v>261</v>
      </c>
      <c r="G57" s="241">
        <v>0.85</v>
      </c>
      <c r="H57" s="176" t="s">
        <v>114</v>
      </c>
      <c r="I57" s="176" t="s">
        <v>262</v>
      </c>
      <c r="J57" s="176" t="s">
        <v>263</v>
      </c>
      <c r="K57" s="177">
        <v>3</v>
      </c>
      <c r="M57" s="296">
        <v>3</v>
      </c>
      <c r="N57" s="119">
        <v>302</v>
      </c>
      <c r="O57" s="120">
        <v>274</v>
      </c>
      <c r="P57" s="120">
        <v>320</v>
      </c>
      <c r="Q57" s="120">
        <v>150</v>
      </c>
      <c r="R57" s="120">
        <v>191</v>
      </c>
      <c r="S57" s="120">
        <v>218</v>
      </c>
      <c r="T57" s="120">
        <v>222</v>
      </c>
      <c r="U57" s="120">
        <v>171</v>
      </c>
      <c r="V57" s="120">
        <v>172</v>
      </c>
      <c r="W57" s="120">
        <v>164</v>
      </c>
      <c r="X57" s="120">
        <v>165</v>
      </c>
      <c r="Y57" s="120">
        <v>165</v>
      </c>
      <c r="Z57" s="120">
        <v>206</v>
      </c>
      <c r="AA57" s="120">
        <v>260</v>
      </c>
      <c r="AB57" s="165"/>
      <c r="AC57" s="245">
        <v>2.5521751910640802</v>
      </c>
      <c r="AD57" s="245">
        <v>2.30248383303939</v>
      </c>
      <c r="AE57" s="245">
        <v>2.6977586713697752</v>
      </c>
      <c r="AF57" s="245">
        <v>1.2643702233980021</v>
      </c>
      <c r="AG57" s="245">
        <v>1.61085758377425</v>
      </c>
      <c r="AH57" s="245">
        <v>1.835765726043505</v>
      </c>
      <c r="AI57" s="245">
        <v>1.87283583186361</v>
      </c>
      <c r="AJ57" s="245">
        <v>1.44510582010582</v>
      </c>
      <c r="AK57" s="245">
        <v>1.451719576719577</v>
      </c>
      <c r="AL57" s="245">
        <v>1.385949441504998</v>
      </c>
      <c r="AM57" s="245">
        <v>1.451719576719577</v>
      </c>
      <c r="AN57" s="245">
        <v>1.87283583186361</v>
      </c>
      <c r="AO57" s="245">
        <v>1.44510582010582</v>
      </c>
      <c r="AP57" s="245">
        <v>1.451719576719577</v>
      </c>
      <c r="AQ57" s="165"/>
      <c r="AR57" s="121">
        <v>2.5521751910640802</v>
      </c>
      <c r="AS57" s="121">
        <v>2.30248383303939</v>
      </c>
      <c r="AT57" s="121">
        <v>2.6977586713697752</v>
      </c>
      <c r="AU57" s="121">
        <v>1.2643702233980021</v>
      </c>
      <c r="AV57" s="121">
        <v>1.61085758377425</v>
      </c>
      <c r="AW57" s="121">
        <v>1.835765726043505</v>
      </c>
      <c r="AX57" s="121">
        <v>1.87283583186361</v>
      </c>
      <c r="AY57" s="121">
        <v>1.44510582010582</v>
      </c>
      <c r="AZ57" s="121">
        <v>1.451719576719577</v>
      </c>
      <c r="BA57" s="121">
        <v>1.385949441504998</v>
      </c>
      <c r="BB57" s="121">
        <v>1.394400352733685</v>
      </c>
      <c r="BC57" s="121">
        <v>1.394400352733685</v>
      </c>
      <c r="BD57" s="121">
        <v>1.7408877131099361</v>
      </c>
      <c r="BE57" s="121">
        <v>2.1972369194591419</v>
      </c>
      <c r="BF57" s="153"/>
      <c r="BG57" s="246">
        <v>0.85072506368802658</v>
      </c>
      <c r="BH57" s="247">
        <v>0.76749461101312999</v>
      </c>
      <c r="BI57" s="247">
        <v>0.89925289045659174</v>
      </c>
      <c r="BJ57" s="247">
        <v>0.42145674113266729</v>
      </c>
      <c r="BK57" s="247">
        <v>0.53695252792475001</v>
      </c>
      <c r="BL57" s="247">
        <v>0.61192190868116836</v>
      </c>
      <c r="BM57" s="247">
        <v>0.62427861062120338</v>
      </c>
      <c r="BN57" s="247">
        <v>3.2269445356087938</v>
      </c>
      <c r="BO57" s="247">
        <v>0.61192190868116836</v>
      </c>
      <c r="BP57" s="247">
        <v>0.62427861062120338</v>
      </c>
      <c r="BQ57" s="247">
        <v>3.2269445356087938</v>
      </c>
      <c r="BR57" s="247">
        <v>2.0812701489706962</v>
      </c>
      <c r="BS57" s="247">
        <v>4.585572223978108</v>
      </c>
      <c r="BT57" s="247">
        <v>0.83642237318706436</v>
      </c>
      <c r="BU57" s="169"/>
      <c r="BV57" s="172">
        <v>3</v>
      </c>
      <c r="BW57" s="210">
        <v>3</v>
      </c>
      <c r="BX57" s="210">
        <v>3</v>
      </c>
      <c r="BY57" s="210">
        <v>3</v>
      </c>
      <c r="BZ57" s="210">
        <v>3</v>
      </c>
      <c r="CA57" s="210">
        <v>3</v>
      </c>
      <c r="CB57" s="210">
        <v>3</v>
      </c>
      <c r="CC57" s="210">
        <v>3</v>
      </c>
      <c r="CD57" s="210">
        <v>3</v>
      </c>
      <c r="CE57" s="210">
        <v>3</v>
      </c>
      <c r="CF57" s="210">
        <v>3</v>
      </c>
      <c r="CG57" s="210">
        <v>3</v>
      </c>
      <c r="CH57" s="210">
        <v>3</v>
      </c>
      <c r="CI57" s="211">
        <v>3</v>
      </c>
      <c r="CJ57" s="249">
        <v>0.44782480893592019</v>
      </c>
      <c r="CK57" s="250">
        <v>0.69751616696061003</v>
      </c>
      <c r="CL57" s="250">
        <v>0.30224132863022479</v>
      </c>
      <c r="CM57" s="250">
        <v>1.7356297766019979</v>
      </c>
      <c r="CN57" s="250">
        <v>1.38914241622575</v>
      </c>
      <c r="CO57" s="284">
        <v>1.164234273956495</v>
      </c>
      <c r="CP57" s="284">
        <v>1.12716416813639</v>
      </c>
      <c r="CQ57" s="284">
        <v>1.55489417989418</v>
      </c>
      <c r="CR57" s="284">
        <v>1.548280423280423</v>
      </c>
      <c r="CS57" s="284">
        <v>1.614050558495002</v>
      </c>
      <c r="CT57" s="284">
        <v>1.548280423280423</v>
      </c>
      <c r="CU57" s="284">
        <v>1.12716416813639</v>
      </c>
      <c r="CV57" s="284">
        <v>1.55489417989418</v>
      </c>
      <c r="CW57" s="284">
        <v>1.548280423280423</v>
      </c>
      <c r="CX57" s="249">
        <v>0.98053613420676977</v>
      </c>
      <c r="CY57" s="251">
        <v>1.7356297766019979</v>
      </c>
      <c r="CZ57" s="127"/>
      <c r="DA57" s="187">
        <v>0.67315462193107678</v>
      </c>
      <c r="DB57" s="127" t="s">
        <v>264</v>
      </c>
      <c r="DC57" s="91"/>
      <c r="DD57" s="107"/>
      <c r="DE57" s="107"/>
      <c r="DF57" s="107"/>
      <c r="DG57" s="99"/>
      <c r="DH57" s="107"/>
      <c r="DI57" s="107"/>
    </row>
    <row r="58" spans="1:113" x14ac:dyDescent="0.35">
      <c r="A58" s="62" t="s">
        <v>54</v>
      </c>
      <c r="B58" s="46" t="s">
        <v>178</v>
      </c>
      <c r="C58" s="345"/>
      <c r="D58" s="253" t="s">
        <v>265</v>
      </c>
      <c r="E58" s="291" t="s">
        <v>55</v>
      </c>
      <c r="F58" s="285"/>
      <c r="G58" s="175"/>
      <c r="H58" s="176"/>
      <c r="I58" s="176"/>
      <c r="J58" s="176"/>
      <c r="K58" s="177"/>
      <c r="M58" s="296">
        <v>4</v>
      </c>
      <c r="N58" s="119">
        <v>120</v>
      </c>
      <c r="O58" s="120">
        <v>100</v>
      </c>
      <c r="P58" s="120">
        <v>300</v>
      </c>
      <c r="Q58" s="120">
        <v>340</v>
      </c>
      <c r="R58" s="120">
        <v>406</v>
      </c>
      <c r="S58" s="120">
        <v>363</v>
      </c>
      <c r="T58" s="120">
        <v>310</v>
      </c>
      <c r="U58" s="120">
        <v>262</v>
      </c>
      <c r="V58" s="120">
        <v>238</v>
      </c>
      <c r="W58" s="120">
        <v>250</v>
      </c>
      <c r="X58" s="120">
        <v>206</v>
      </c>
      <c r="Y58" s="120">
        <v>384</v>
      </c>
      <c r="Z58" s="120">
        <v>584.79999999999995</v>
      </c>
      <c r="AA58" s="120">
        <v>651</v>
      </c>
      <c r="AB58" s="165"/>
      <c r="AC58" s="245">
        <v>0.83774250440917197</v>
      </c>
      <c r="AD58" s="245">
        <v>0.77160493827160503</v>
      </c>
      <c r="AE58" s="245">
        <v>2.3148148148148149</v>
      </c>
      <c r="AF58" s="245">
        <v>2.62345679012346</v>
      </c>
      <c r="AG58" s="245">
        <v>3.0533509700176249</v>
      </c>
      <c r="AH58" s="245">
        <v>2.7171516754849998</v>
      </c>
      <c r="AI58" s="245">
        <v>2.3258377425044001</v>
      </c>
      <c r="AJ58" s="245">
        <v>2.0216049382716048</v>
      </c>
      <c r="AK58" s="245">
        <v>1.8364197530864199</v>
      </c>
      <c r="AL58" s="245">
        <v>1.929012345679012</v>
      </c>
      <c r="AM58" s="245">
        <v>1.8364197530864199</v>
      </c>
      <c r="AN58" s="245">
        <v>2.3258377425044001</v>
      </c>
      <c r="AO58" s="245">
        <v>2.0216049382716048</v>
      </c>
      <c r="AP58" s="245">
        <v>1.8364197530864199</v>
      </c>
      <c r="AQ58" s="165"/>
      <c r="AR58" s="121">
        <v>0.83774250440917197</v>
      </c>
      <c r="AS58" s="121">
        <v>0.77160493827160503</v>
      </c>
      <c r="AT58" s="121">
        <v>2.3148148148148149</v>
      </c>
      <c r="AU58" s="121">
        <v>2.62345679012346</v>
      </c>
      <c r="AV58" s="121">
        <v>3.0533509700176249</v>
      </c>
      <c r="AW58" s="121">
        <v>3.1029541446208002</v>
      </c>
      <c r="AX58" s="121">
        <v>2.59589947089948</v>
      </c>
      <c r="AY58" s="121">
        <v>1.450617283950618</v>
      </c>
      <c r="AZ58" s="121">
        <v>1.458333333333333</v>
      </c>
      <c r="BA58" s="121">
        <v>1.36574074074074</v>
      </c>
      <c r="BB58" s="121">
        <v>1.5169951499118171</v>
      </c>
      <c r="BC58" s="121">
        <v>2.5278968253968248</v>
      </c>
      <c r="BD58" s="121">
        <v>3.6029171075837798</v>
      </c>
      <c r="BE58" s="121">
        <v>3.9588734567901249</v>
      </c>
      <c r="BF58" s="153"/>
      <c r="BG58" s="246">
        <v>0.20943562610229299</v>
      </c>
      <c r="BH58" s="247">
        <v>0.19290123456790129</v>
      </c>
      <c r="BI58" s="247">
        <v>0.57870370370370372</v>
      </c>
      <c r="BJ58" s="247">
        <v>0.655864197530865</v>
      </c>
      <c r="BK58" s="247">
        <v>0.76333774250440622</v>
      </c>
      <c r="BL58" s="247">
        <v>0.67928791887124995</v>
      </c>
      <c r="BM58" s="247">
        <v>0.58145943562610003</v>
      </c>
      <c r="BN58" s="247">
        <v>0.63929168990518692</v>
      </c>
      <c r="BO58" s="247">
        <v>0.67928791887124995</v>
      </c>
      <c r="BP58" s="247">
        <v>0.58145943562610003</v>
      </c>
      <c r="BQ58" s="247">
        <v>0.63929168990518692</v>
      </c>
      <c r="BR58" s="247">
        <v>0.56883365200764824</v>
      </c>
      <c r="BS58" s="247">
        <v>1.1446886446886451</v>
      </c>
      <c r="BT58" s="247">
        <v>1.334080717488793</v>
      </c>
      <c r="BU58" s="169"/>
      <c r="BV58" s="172">
        <v>4</v>
      </c>
      <c r="BW58" s="210">
        <v>4</v>
      </c>
      <c r="BX58" s="210">
        <v>4</v>
      </c>
      <c r="BY58" s="210">
        <v>4</v>
      </c>
      <c r="BZ58" s="210">
        <v>4</v>
      </c>
      <c r="CA58" s="210">
        <v>4</v>
      </c>
      <c r="CB58" s="210">
        <v>4</v>
      </c>
      <c r="CC58" s="210">
        <v>4</v>
      </c>
      <c r="CD58" s="210">
        <v>4</v>
      </c>
      <c r="CE58" s="210">
        <v>4</v>
      </c>
      <c r="CF58" s="210">
        <v>4</v>
      </c>
      <c r="CG58" s="210">
        <v>4</v>
      </c>
      <c r="CH58" s="210">
        <v>4</v>
      </c>
      <c r="CI58" s="211">
        <v>4</v>
      </c>
      <c r="CJ58" s="249">
        <v>3.1622574955908278</v>
      </c>
      <c r="CK58" s="250">
        <v>3.2283950617283952</v>
      </c>
      <c r="CL58" s="250">
        <v>1.6851851851851849</v>
      </c>
      <c r="CM58" s="250">
        <v>1.37654320987654</v>
      </c>
      <c r="CN58" s="250">
        <v>0.9466490299823751</v>
      </c>
      <c r="CO58" s="284">
        <v>1.282848324515</v>
      </c>
      <c r="CP58" s="284">
        <v>1.6741622574956001</v>
      </c>
      <c r="CQ58" s="284">
        <v>1.978395061728395</v>
      </c>
      <c r="CR58" s="284">
        <v>2.1635802469135799</v>
      </c>
      <c r="CS58" s="284">
        <v>2.0709876543209882</v>
      </c>
      <c r="CT58" s="284">
        <v>2.1635802469135799</v>
      </c>
      <c r="CU58" s="284">
        <v>1.6741622574956001</v>
      </c>
      <c r="CV58" s="284">
        <v>1.978395061728395</v>
      </c>
      <c r="CW58" s="284">
        <v>2.1635802469135799</v>
      </c>
      <c r="CX58" s="249">
        <v>1.90800579491056</v>
      </c>
      <c r="CY58" s="251"/>
      <c r="CZ58" s="127"/>
      <c r="DA58" s="187">
        <v>0.52299855127235984</v>
      </c>
      <c r="DB58" s="127" t="s">
        <v>266</v>
      </c>
      <c r="DC58" s="91"/>
      <c r="DD58" s="107"/>
      <c r="DE58" s="107"/>
      <c r="DF58" s="107"/>
      <c r="DG58" s="99"/>
      <c r="DH58" s="107"/>
      <c r="DI58" s="107"/>
    </row>
    <row r="59" spans="1:113" x14ac:dyDescent="0.35">
      <c r="A59" s="62" t="s">
        <v>54</v>
      </c>
      <c r="B59" s="46" t="s">
        <v>178</v>
      </c>
      <c r="C59" s="345"/>
      <c r="D59" s="253" t="s">
        <v>58</v>
      </c>
      <c r="E59" s="291" t="s">
        <v>59</v>
      </c>
      <c r="F59" s="285"/>
      <c r="G59" s="175"/>
      <c r="H59" s="176"/>
      <c r="I59" s="176"/>
      <c r="J59" s="176"/>
      <c r="K59" s="177"/>
      <c r="M59" s="296">
        <v>1</v>
      </c>
      <c r="N59" s="119">
        <v>218.8</v>
      </c>
      <c r="O59" s="120">
        <v>87.5</v>
      </c>
      <c r="P59" s="120">
        <v>237.5</v>
      </c>
      <c r="Q59" s="120">
        <v>164.4</v>
      </c>
      <c r="R59" s="120">
        <v>129.5</v>
      </c>
      <c r="S59" s="120">
        <v>88</v>
      </c>
      <c r="T59" s="120">
        <v>143.6</v>
      </c>
      <c r="U59" s="120">
        <v>88.5</v>
      </c>
      <c r="V59" s="120">
        <v>120</v>
      </c>
      <c r="W59" s="120">
        <v>143.19999999999999</v>
      </c>
      <c r="X59" s="120">
        <v>0</v>
      </c>
      <c r="Y59" s="120">
        <v>0</v>
      </c>
      <c r="Z59" s="120">
        <v>0</v>
      </c>
      <c r="AA59" s="120">
        <v>0</v>
      </c>
      <c r="AB59" s="165"/>
      <c r="AC59" s="245">
        <v>2.6672268907563041</v>
      </c>
      <c r="AD59" s="245">
        <v>1.26925770308123</v>
      </c>
      <c r="AE59" s="245">
        <v>2.9367997198879552</v>
      </c>
      <c r="AF59" s="245">
        <v>2.0421568627450961</v>
      </c>
      <c r="AG59" s="245">
        <v>1.52608543417367</v>
      </c>
      <c r="AH59" s="245">
        <v>0.98529411764705999</v>
      </c>
      <c r="AI59" s="245">
        <v>1.541176470588236</v>
      </c>
      <c r="AJ59" s="245">
        <v>0.90931372549019507</v>
      </c>
      <c r="AK59" s="245">
        <v>1.2566526610644251</v>
      </c>
      <c r="AL59" s="245">
        <v>1.6121848739495801</v>
      </c>
      <c r="AM59" s="245">
        <v>1.2566526610644251</v>
      </c>
      <c r="AN59" s="245">
        <v>1.541176470588236</v>
      </c>
      <c r="AO59" s="245">
        <v>0.90931372549019507</v>
      </c>
      <c r="AP59" s="245">
        <v>1.2566526610644251</v>
      </c>
      <c r="AQ59" s="165"/>
      <c r="AR59" s="121">
        <v>2.5726890756302518</v>
      </c>
      <c r="AS59" s="121">
        <v>1.26925770308123</v>
      </c>
      <c r="AT59" s="121">
        <v>2.9367997198879552</v>
      </c>
      <c r="AU59" s="121">
        <v>2.0421568627450961</v>
      </c>
      <c r="AV59" s="121">
        <v>1.52608543417367</v>
      </c>
      <c r="AW59" s="121">
        <v>0.98529411764705999</v>
      </c>
      <c r="AX59" s="121">
        <v>1.541176470588236</v>
      </c>
      <c r="AY59" s="121">
        <v>0.90931372549019507</v>
      </c>
      <c r="AZ59" s="121">
        <v>1.2566526610644251</v>
      </c>
      <c r="BA59" s="121">
        <v>1.6121848739495801</v>
      </c>
      <c r="BB59" s="121">
        <v>0</v>
      </c>
      <c r="BC59" s="121">
        <v>0</v>
      </c>
      <c r="BD59" s="121">
        <v>0</v>
      </c>
      <c r="BE59" s="121">
        <v>0</v>
      </c>
      <c r="BF59" s="153"/>
      <c r="BG59" s="246">
        <v>2.6672268907563041</v>
      </c>
      <c r="BH59" s="247">
        <v>1.26925770308123</v>
      </c>
      <c r="BI59" s="247">
        <v>2.9367997198879552</v>
      </c>
      <c r="BJ59" s="247">
        <v>2.0421568627450961</v>
      </c>
      <c r="BK59" s="247">
        <v>1.52608543417367</v>
      </c>
      <c r="BL59" s="247">
        <v>0.98529411764705999</v>
      </c>
      <c r="BM59" s="247">
        <v>1.541176470588236</v>
      </c>
      <c r="BN59" s="247">
        <v>-0.54540490591397739</v>
      </c>
      <c r="BO59" s="247">
        <v>0.98529411764705999</v>
      </c>
      <c r="BP59" s="247">
        <v>1.541176470588236</v>
      </c>
      <c r="BQ59" s="247">
        <v>-0.54540490591397739</v>
      </c>
      <c r="BR59" s="247">
        <v>-4.6671001300390529</v>
      </c>
      <c r="BS59" s="247">
        <v>-0.8323962758745368</v>
      </c>
      <c r="BT59" s="247">
        <v>-1.2058191103346341</v>
      </c>
      <c r="BU59" s="169"/>
      <c r="BV59" s="172">
        <v>1</v>
      </c>
      <c r="BW59" s="210">
        <v>1</v>
      </c>
      <c r="BX59" s="210">
        <v>1</v>
      </c>
      <c r="BY59" s="210">
        <v>1</v>
      </c>
      <c r="BZ59" s="210">
        <v>1</v>
      </c>
      <c r="CA59" s="210">
        <v>1</v>
      </c>
      <c r="CB59" s="210">
        <v>1</v>
      </c>
      <c r="CC59" s="210">
        <v>1</v>
      </c>
      <c r="CD59" s="210">
        <v>1</v>
      </c>
      <c r="CE59" s="210">
        <v>1</v>
      </c>
      <c r="CF59" s="210">
        <v>1</v>
      </c>
      <c r="CG59" s="210">
        <v>1</v>
      </c>
      <c r="CH59" s="210">
        <v>1</v>
      </c>
      <c r="CI59" s="211">
        <v>1</v>
      </c>
      <c r="CJ59" s="249">
        <v>-1.6672268907563039</v>
      </c>
      <c r="CK59" s="250">
        <v>-0.26925770308122998</v>
      </c>
      <c r="CL59" s="250">
        <v>-1.936799719887955</v>
      </c>
      <c r="CM59" s="250">
        <v>-1.0421568627450959</v>
      </c>
      <c r="CN59" s="250">
        <v>-0.52608543417367004</v>
      </c>
      <c r="CO59" s="284">
        <v>1.4705882352940011E-2</v>
      </c>
      <c r="CP59" s="284">
        <v>-0.54117647058823604</v>
      </c>
      <c r="CQ59" s="284">
        <v>9.0686274509804932E-2</v>
      </c>
      <c r="CR59" s="284">
        <v>-0.25665266106442508</v>
      </c>
      <c r="CS59" s="284">
        <v>-0.61218487394957988</v>
      </c>
      <c r="CT59" s="284">
        <v>-0.25665266106442508</v>
      </c>
      <c r="CU59" s="284">
        <v>-0.54117647058823604</v>
      </c>
      <c r="CV59" s="284">
        <v>9.0686274509804932E-2</v>
      </c>
      <c r="CW59" s="284">
        <v>-0.25665266106442508</v>
      </c>
      <c r="CX59" s="249">
        <v>-0.85257102841136434</v>
      </c>
      <c r="CY59" s="251"/>
      <c r="CZ59" s="127"/>
      <c r="DA59" s="187">
        <v>1.8525710284113639</v>
      </c>
      <c r="DB59" s="127" t="s">
        <v>267</v>
      </c>
      <c r="DC59" s="91"/>
      <c r="DD59" s="107"/>
      <c r="DE59" s="107"/>
      <c r="DF59" s="107"/>
      <c r="DG59" s="99"/>
      <c r="DH59" s="107"/>
      <c r="DI59" s="107"/>
    </row>
    <row r="60" spans="1:113" x14ac:dyDescent="0.35">
      <c r="A60" s="62" t="s">
        <v>268</v>
      </c>
      <c r="B60" s="46" t="s">
        <v>178</v>
      </c>
      <c r="C60" s="345"/>
      <c r="D60" s="253" t="s">
        <v>269</v>
      </c>
      <c r="E60" s="291" t="s">
        <v>270</v>
      </c>
      <c r="F60" s="283"/>
      <c r="G60" s="241">
        <v>0.85</v>
      </c>
      <c r="H60" s="280" t="s">
        <v>108</v>
      </c>
      <c r="I60" s="280" t="s">
        <v>181</v>
      </c>
      <c r="J60" s="280" t="s">
        <v>110</v>
      </c>
      <c r="K60" s="77">
        <v>2</v>
      </c>
      <c r="M60" s="244">
        <v>1</v>
      </c>
      <c r="N60" s="119">
        <v>10</v>
      </c>
      <c r="O60" s="120">
        <v>0</v>
      </c>
      <c r="P60" s="120">
        <v>6.25</v>
      </c>
      <c r="Q60" s="120">
        <v>10</v>
      </c>
      <c r="R60" s="120">
        <v>0</v>
      </c>
      <c r="S60" s="120">
        <v>0</v>
      </c>
      <c r="T60" s="120">
        <v>5</v>
      </c>
      <c r="U60" s="120">
        <v>0</v>
      </c>
      <c r="V60" s="120">
        <v>0</v>
      </c>
      <c r="W60" s="120">
        <v>0</v>
      </c>
      <c r="X60" s="120">
        <v>0</v>
      </c>
      <c r="Y60" s="120">
        <v>0</v>
      </c>
      <c r="Z60" s="120">
        <v>0</v>
      </c>
      <c r="AA60" s="120">
        <v>0</v>
      </c>
      <c r="AB60" s="165"/>
      <c r="AC60" s="245">
        <v>0.23113678804855201</v>
      </c>
      <c r="AD60" s="245">
        <v>0</v>
      </c>
      <c r="AE60" s="245">
        <v>0.108015289449113</v>
      </c>
      <c r="AF60" s="245">
        <v>0.28944911297852399</v>
      </c>
      <c r="AG60" s="245">
        <v>0</v>
      </c>
      <c r="AH60" s="245">
        <v>0</v>
      </c>
      <c r="AI60" s="245">
        <v>8.6412231559290412E-2</v>
      </c>
      <c r="AJ60" s="245">
        <v>0</v>
      </c>
      <c r="AK60" s="245">
        <v>0</v>
      </c>
      <c r="AL60" s="245">
        <v>0</v>
      </c>
      <c r="AM60" s="245">
        <v>0</v>
      </c>
      <c r="AN60" s="245">
        <v>8.6412231559290412E-2</v>
      </c>
      <c r="AO60" s="245">
        <v>0</v>
      </c>
      <c r="AP60" s="245">
        <v>0</v>
      </c>
      <c r="AQ60" s="165"/>
      <c r="AR60" s="121">
        <v>0.23113678804855201</v>
      </c>
      <c r="AS60" s="121">
        <v>0</v>
      </c>
      <c r="AT60" s="121">
        <v>0.108015289449113</v>
      </c>
      <c r="AU60" s="121">
        <v>0.28944911297852399</v>
      </c>
      <c r="AV60" s="121">
        <v>0</v>
      </c>
      <c r="AW60" s="121">
        <v>0</v>
      </c>
      <c r="AX60" s="121">
        <v>8.6412231559290412E-2</v>
      </c>
      <c r="AY60" s="121">
        <v>0</v>
      </c>
      <c r="AZ60" s="121">
        <v>0</v>
      </c>
      <c r="BA60" s="121">
        <v>0</v>
      </c>
      <c r="BB60" s="121">
        <v>0</v>
      </c>
      <c r="BC60" s="121">
        <v>0</v>
      </c>
      <c r="BD60" s="121">
        <v>0</v>
      </c>
      <c r="BE60" s="121">
        <v>0</v>
      </c>
      <c r="BF60" s="153"/>
      <c r="BG60" s="246">
        <v>0.23113678804855201</v>
      </c>
      <c r="BH60" s="247">
        <v>0</v>
      </c>
      <c r="BI60" s="247">
        <v>0.108015289449113</v>
      </c>
      <c r="BJ60" s="247">
        <v>0.28944911297852399</v>
      </c>
      <c r="BK60" s="247">
        <v>0</v>
      </c>
      <c r="BL60" s="247">
        <v>0</v>
      </c>
      <c r="BM60" s="247">
        <v>8.6412231559290412E-2</v>
      </c>
      <c r="BN60" s="247">
        <v>0</v>
      </c>
      <c r="BO60" s="247">
        <v>0</v>
      </c>
      <c r="BP60" s="247">
        <v>8.6412231559290412E-2</v>
      </c>
      <c r="BQ60" s="247">
        <v>0</v>
      </c>
      <c r="BR60" s="247">
        <v>0</v>
      </c>
      <c r="BS60" s="247">
        <v>0</v>
      </c>
      <c r="BT60" s="247">
        <v>0</v>
      </c>
      <c r="BU60" s="169"/>
      <c r="BV60" s="172">
        <v>1</v>
      </c>
      <c r="BW60" s="210">
        <v>1</v>
      </c>
      <c r="BX60" s="210">
        <v>1</v>
      </c>
      <c r="BY60" s="210">
        <v>1</v>
      </c>
      <c r="BZ60" s="210">
        <v>1</v>
      </c>
      <c r="CA60" s="210">
        <v>1</v>
      </c>
      <c r="CB60" s="210">
        <v>1</v>
      </c>
      <c r="CC60" s="210">
        <v>1</v>
      </c>
      <c r="CD60" s="210">
        <v>1</v>
      </c>
      <c r="CE60" s="210">
        <v>1</v>
      </c>
      <c r="CF60" s="210">
        <v>1</v>
      </c>
      <c r="CG60" s="210">
        <v>1</v>
      </c>
      <c r="CH60" s="210">
        <v>1</v>
      </c>
      <c r="CI60" s="211">
        <v>1</v>
      </c>
      <c r="CJ60" s="249">
        <v>0.76886321195144802</v>
      </c>
      <c r="CK60" s="250">
        <v>1</v>
      </c>
      <c r="CL60" s="250">
        <v>0.89198471055088702</v>
      </c>
      <c r="CM60" s="250">
        <v>0.71055088702147606</v>
      </c>
      <c r="CN60" s="250">
        <v>1</v>
      </c>
      <c r="CO60" s="284">
        <v>1</v>
      </c>
      <c r="CP60" s="284">
        <v>0.91358776844070955</v>
      </c>
      <c r="CQ60" s="284">
        <v>1</v>
      </c>
      <c r="CR60" s="284">
        <v>1</v>
      </c>
      <c r="CS60" s="284">
        <v>1</v>
      </c>
      <c r="CT60" s="284">
        <v>1</v>
      </c>
      <c r="CU60" s="284">
        <v>0.91358776844070955</v>
      </c>
      <c r="CV60" s="284">
        <v>1</v>
      </c>
      <c r="CW60" s="284">
        <v>1</v>
      </c>
      <c r="CX60" s="249">
        <v>0.89785522542350293</v>
      </c>
      <c r="CY60" s="251">
        <v>1</v>
      </c>
      <c r="CZ60" s="127"/>
      <c r="DA60" s="187">
        <v>0.10214477457649709</v>
      </c>
      <c r="DB60" s="127" t="s">
        <v>271</v>
      </c>
      <c r="DC60" s="91"/>
      <c r="DD60" s="342"/>
      <c r="DE60" s="342"/>
      <c r="DF60" s="342"/>
      <c r="DG60" s="100"/>
      <c r="DH60" s="342"/>
      <c r="DI60" s="342"/>
    </row>
    <row r="61" spans="1:113" x14ac:dyDescent="0.35">
      <c r="A61" s="62" t="s">
        <v>272</v>
      </c>
      <c r="B61" s="46" t="s">
        <v>178</v>
      </c>
      <c r="C61" s="345"/>
      <c r="D61" s="253" t="s">
        <v>273</v>
      </c>
      <c r="E61" s="291" t="s">
        <v>61</v>
      </c>
      <c r="F61" s="283"/>
      <c r="G61" s="241">
        <v>0.85</v>
      </c>
      <c r="H61" s="280" t="s">
        <v>108</v>
      </c>
      <c r="I61" s="280" t="s">
        <v>185</v>
      </c>
      <c r="J61" s="280" t="s">
        <v>139</v>
      </c>
      <c r="K61" s="77">
        <v>3</v>
      </c>
      <c r="M61" s="244">
        <v>5</v>
      </c>
      <c r="N61" s="119">
        <v>134.80000000000001</v>
      </c>
      <c r="O61" s="120">
        <v>146.25</v>
      </c>
      <c r="P61" s="120">
        <v>165</v>
      </c>
      <c r="Q61" s="120">
        <v>157.80000000000001</v>
      </c>
      <c r="R61" s="120">
        <v>83.5</v>
      </c>
      <c r="S61" s="120">
        <v>86.75</v>
      </c>
      <c r="T61" s="120">
        <v>0</v>
      </c>
      <c r="U61" s="120">
        <v>0</v>
      </c>
      <c r="V61" s="120">
        <v>0</v>
      </c>
      <c r="W61" s="120">
        <v>0</v>
      </c>
      <c r="X61" s="120">
        <v>0</v>
      </c>
      <c r="Y61" s="120">
        <v>0</v>
      </c>
      <c r="Z61" s="120">
        <v>0</v>
      </c>
      <c r="AA61" s="120">
        <v>0</v>
      </c>
      <c r="AB61" s="165"/>
      <c r="AC61" s="245">
        <v>3.5527310924369799</v>
      </c>
      <c r="AD61" s="245">
        <v>3.9345529878618</v>
      </c>
      <c r="AE61" s="245">
        <v>4.3574674225600001</v>
      </c>
      <c r="AF61" s="245">
        <v>4.3102392484218202</v>
      </c>
      <c r="AG61" s="245">
        <v>2.4091094771241819</v>
      </c>
      <c r="AH61" s="245">
        <v>2.7042483660130752</v>
      </c>
      <c r="AI61" s="245">
        <v>0</v>
      </c>
      <c r="AJ61" s="245">
        <v>0</v>
      </c>
      <c r="AK61" s="245">
        <v>0</v>
      </c>
      <c r="AL61" s="245">
        <v>0</v>
      </c>
      <c r="AM61" s="245">
        <v>0</v>
      </c>
      <c r="AN61" s="245">
        <v>0</v>
      </c>
      <c r="AO61" s="245">
        <v>0</v>
      </c>
      <c r="AP61" s="245">
        <v>0</v>
      </c>
      <c r="AQ61" s="165"/>
      <c r="AR61" s="121">
        <v>3.6748599439776002</v>
      </c>
      <c r="AS61" s="121">
        <v>3.9345529878618</v>
      </c>
      <c r="AT61" s="121">
        <v>4.3574674225600001</v>
      </c>
      <c r="AU61" s="121">
        <v>4.3102392484218202</v>
      </c>
      <c r="AV61" s="121">
        <v>2.4091094771241819</v>
      </c>
      <c r="AW61" s="121">
        <v>2.7042483660130752</v>
      </c>
      <c r="AX61" s="121">
        <v>0</v>
      </c>
      <c r="AY61" s="121">
        <v>0</v>
      </c>
      <c r="AZ61" s="121">
        <v>0</v>
      </c>
      <c r="BA61" s="121">
        <v>0</v>
      </c>
      <c r="BB61" s="121">
        <v>0</v>
      </c>
      <c r="BC61" s="121">
        <v>0</v>
      </c>
      <c r="BD61" s="121">
        <v>0</v>
      </c>
      <c r="BE61" s="121">
        <v>0</v>
      </c>
      <c r="BF61" s="153"/>
      <c r="BG61" s="246">
        <v>0.71054621848739596</v>
      </c>
      <c r="BH61" s="247">
        <v>0.78691059757236004</v>
      </c>
      <c r="BI61" s="247">
        <v>0.87149348451200004</v>
      </c>
      <c r="BJ61" s="247">
        <v>0.86204784968436399</v>
      </c>
      <c r="BK61" s="247">
        <v>0.48182189542483639</v>
      </c>
      <c r="BL61" s="247">
        <v>0.54084967320261501</v>
      </c>
      <c r="BM61" s="247">
        <v>0</v>
      </c>
      <c r="BN61" s="247">
        <v>0</v>
      </c>
      <c r="BO61" s="247">
        <v>0.54084967320261501</v>
      </c>
      <c r="BP61" s="247">
        <v>0</v>
      </c>
      <c r="BQ61" s="247">
        <v>0</v>
      </c>
      <c r="BR61" s="247">
        <v>0</v>
      </c>
      <c r="BS61" s="247">
        <v>0</v>
      </c>
      <c r="BT61" s="247">
        <v>0</v>
      </c>
      <c r="BU61" s="169"/>
      <c r="BV61" s="172">
        <v>5</v>
      </c>
      <c r="BW61" s="210">
        <v>5</v>
      </c>
      <c r="BX61" s="210">
        <v>5</v>
      </c>
      <c r="BY61" s="210">
        <v>5</v>
      </c>
      <c r="BZ61" s="210">
        <v>5</v>
      </c>
      <c r="CA61" s="210">
        <v>5</v>
      </c>
      <c r="CB61" s="210">
        <v>5</v>
      </c>
      <c r="CC61" s="210">
        <v>5</v>
      </c>
      <c r="CD61" s="210">
        <v>5</v>
      </c>
      <c r="CE61" s="210">
        <v>5</v>
      </c>
      <c r="CF61" s="210">
        <v>5</v>
      </c>
      <c r="CG61" s="210">
        <v>5</v>
      </c>
      <c r="CH61" s="210">
        <v>5</v>
      </c>
      <c r="CI61" s="211">
        <v>5</v>
      </c>
      <c r="CJ61" s="249">
        <v>1.4472689075630201</v>
      </c>
      <c r="CK61" s="250">
        <v>1.0654470121382</v>
      </c>
      <c r="CL61" s="250">
        <v>0.64253257743999992</v>
      </c>
      <c r="CM61" s="250">
        <v>0.68976075157817984</v>
      </c>
      <c r="CN61" s="250">
        <v>2.5908905228758181</v>
      </c>
      <c r="CO61" s="284">
        <v>2.2957516339869248</v>
      </c>
      <c r="CP61" s="284">
        <v>5</v>
      </c>
      <c r="CQ61" s="284">
        <v>5</v>
      </c>
      <c r="CR61" s="284">
        <v>5</v>
      </c>
      <c r="CS61" s="284">
        <v>5</v>
      </c>
      <c r="CT61" s="284">
        <v>5</v>
      </c>
      <c r="CU61" s="284">
        <v>5</v>
      </c>
      <c r="CV61" s="284">
        <v>5</v>
      </c>
      <c r="CW61" s="284">
        <v>5</v>
      </c>
      <c r="CX61" s="249">
        <v>1.961664486511735</v>
      </c>
      <c r="CY61" s="251">
        <v>5</v>
      </c>
      <c r="CZ61" s="127"/>
      <c r="DA61" s="187">
        <v>0.60766710269765312</v>
      </c>
      <c r="DB61" s="127" t="s">
        <v>274</v>
      </c>
      <c r="DC61" s="91"/>
      <c r="DD61" s="343"/>
      <c r="DE61" s="343"/>
      <c r="DF61" s="343"/>
      <c r="DG61" s="100"/>
      <c r="DH61" s="343"/>
      <c r="DI61" s="343"/>
    </row>
    <row r="62" spans="1:113" x14ac:dyDescent="0.35">
      <c r="A62" s="62" t="s">
        <v>254</v>
      </c>
      <c r="B62" s="46" t="s">
        <v>178</v>
      </c>
      <c r="C62" s="345"/>
      <c r="D62" s="253" t="s">
        <v>60</v>
      </c>
      <c r="E62" s="291" t="s">
        <v>61</v>
      </c>
      <c r="F62" s="283"/>
      <c r="G62" s="241">
        <v>0.85</v>
      </c>
      <c r="H62" s="280" t="s">
        <v>108</v>
      </c>
      <c r="I62" s="280" t="s">
        <v>185</v>
      </c>
      <c r="J62" s="280" t="s">
        <v>139</v>
      </c>
      <c r="K62" s="77">
        <v>2</v>
      </c>
      <c r="M62" s="244">
        <v>3</v>
      </c>
      <c r="N62" s="119">
        <v>148.80000000000001</v>
      </c>
      <c r="O62" s="120">
        <v>134.5</v>
      </c>
      <c r="P62" s="120">
        <v>156.25</v>
      </c>
      <c r="Q62" s="120">
        <v>118</v>
      </c>
      <c r="R62" s="120">
        <v>90</v>
      </c>
      <c r="S62" s="120">
        <v>76</v>
      </c>
      <c r="T62" s="120">
        <v>64.8</v>
      </c>
      <c r="U62" s="120">
        <v>45.5</v>
      </c>
      <c r="V62" s="120">
        <v>40.75</v>
      </c>
      <c r="W62" s="120">
        <v>62.8</v>
      </c>
      <c r="X62" s="120">
        <v>0</v>
      </c>
      <c r="Y62" s="120">
        <v>0</v>
      </c>
      <c r="Z62" s="120">
        <v>0</v>
      </c>
      <c r="AA62" s="120">
        <v>0</v>
      </c>
      <c r="AB62" s="165"/>
      <c r="AC62" s="245">
        <v>3.2708718487395001</v>
      </c>
      <c r="AD62" s="245">
        <v>3.2557948179271752</v>
      </c>
      <c r="AE62" s="245">
        <v>3.876342203548075</v>
      </c>
      <c r="AF62" s="245">
        <v>3.1273611111111022</v>
      </c>
      <c r="AG62" s="245">
        <v>2.049253034547152</v>
      </c>
      <c r="AH62" s="245">
        <v>1.3567489495798331</v>
      </c>
      <c r="AI62" s="245">
        <v>1.4147443977591041</v>
      </c>
      <c r="AJ62" s="245">
        <v>0.73613737161531256</v>
      </c>
      <c r="AK62" s="245">
        <v>0.81994047619047494</v>
      </c>
      <c r="AL62" s="245">
        <v>1.5678408029878621</v>
      </c>
      <c r="AM62" s="245">
        <v>0.81994047619047494</v>
      </c>
      <c r="AN62" s="245">
        <v>1.4147443977591041</v>
      </c>
      <c r="AO62" s="245">
        <v>0.73613737161531256</v>
      </c>
      <c r="AP62" s="245">
        <v>0.81994047619047494</v>
      </c>
      <c r="AQ62" s="165"/>
      <c r="AR62" s="121">
        <v>2.51634220354808</v>
      </c>
      <c r="AS62" s="121">
        <v>2.953448879551825</v>
      </c>
      <c r="AT62" s="121">
        <v>2.9589752567693748</v>
      </c>
      <c r="AU62" s="121">
        <v>2.9593685807656418</v>
      </c>
      <c r="AV62" s="121">
        <v>2.9909547152194249</v>
      </c>
      <c r="AW62" s="121">
        <v>1.845801237161532</v>
      </c>
      <c r="AX62" s="121">
        <v>1.618059056956116</v>
      </c>
      <c r="AY62" s="121">
        <v>0.73613737161531256</v>
      </c>
      <c r="AZ62" s="121">
        <v>0.81994047619047494</v>
      </c>
      <c r="BA62" s="121">
        <v>1.5678408029878621</v>
      </c>
      <c r="BB62" s="121">
        <v>0</v>
      </c>
      <c r="BC62" s="121">
        <v>0</v>
      </c>
      <c r="BD62" s="121">
        <v>0</v>
      </c>
      <c r="BE62" s="121">
        <v>0</v>
      </c>
      <c r="BF62" s="153"/>
      <c r="BG62" s="246">
        <v>1.0902906162465</v>
      </c>
      <c r="BH62" s="247">
        <v>1.0852649393090581</v>
      </c>
      <c r="BI62" s="247">
        <v>1.2921140678493579</v>
      </c>
      <c r="BJ62" s="247">
        <v>1.0424537037037001</v>
      </c>
      <c r="BK62" s="247">
        <v>0.68308434484905078</v>
      </c>
      <c r="BL62" s="247">
        <v>0.4522496498599442</v>
      </c>
      <c r="BM62" s="247">
        <v>0.47158146591970129</v>
      </c>
      <c r="BN62" s="247">
        <v>-2.71765919951048</v>
      </c>
      <c r="BO62" s="247">
        <v>0.4522496498599442</v>
      </c>
      <c r="BP62" s="247">
        <v>0.47158146591970129</v>
      </c>
      <c r="BQ62" s="247">
        <v>-2.71765919951048</v>
      </c>
      <c r="BR62" s="247">
        <v>-3.2054616384914891</v>
      </c>
      <c r="BS62" s="247">
        <v>-1.789073716454707</v>
      </c>
      <c r="BT62" s="247">
        <v>-6.4379186789224159</v>
      </c>
      <c r="BU62" s="169"/>
      <c r="BV62" s="172">
        <v>3</v>
      </c>
      <c r="BW62" s="210">
        <v>3</v>
      </c>
      <c r="BX62" s="210">
        <v>3</v>
      </c>
      <c r="BY62" s="210">
        <v>3</v>
      </c>
      <c r="BZ62" s="210">
        <v>3</v>
      </c>
      <c r="CA62" s="210">
        <v>3</v>
      </c>
      <c r="CB62" s="210">
        <v>3</v>
      </c>
      <c r="CC62" s="210">
        <v>3</v>
      </c>
      <c r="CD62" s="210">
        <v>3</v>
      </c>
      <c r="CE62" s="210">
        <v>3</v>
      </c>
      <c r="CF62" s="210">
        <v>3</v>
      </c>
      <c r="CG62" s="210">
        <v>3</v>
      </c>
      <c r="CH62" s="210">
        <v>3</v>
      </c>
      <c r="CI62" s="211">
        <v>3</v>
      </c>
      <c r="CJ62" s="249">
        <v>-0.27087184873949971</v>
      </c>
      <c r="CK62" s="250">
        <v>-0.25579481792717518</v>
      </c>
      <c r="CL62" s="250">
        <v>-0.87634220354807502</v>
      </c>
      <c r="CM62" s="284">
        <v>-0.12736111111110171</v>
      </c>
      <c r="CN62" s="284">
        <v>0.95074696545284754</v>
      </c>
      <c r="CO62" s="284">
        <v>1.6432510504201669</v>
      </c>
      <c r="CP62" s="284">
        <v>1.5852556022408959</v>
      </c>
      <c r="CQ62" s="284">
        <v>2.263862628384687</v>
      </c>
      <c r="CR62" s="284">
        <v>2.1800595238095251</v>
      </c>
      <c r="CS62" s="284">
        <v>1.4321591970121379</v>
      </c>
      <c r="CT62" s="284">
        <v>2.1800595238095251</v>
      </c>
      <c r="CU62" s="284">
        <v>1.5852556022408959</v>
      </c>
      <c r="CV62" s="284">
        <v>2.263862628384687</v>
      </c>
      <c r="CW62" s="284">
        <v>2.1800595238095251</v>
      </c>
      <c r="CX62" s="249">
        <v>0.37841194811257989</v>
      </c>
      <c r="CY62" s="251">
        <v>1.6432510504201669</v>
      </c>
      <c r="CZ62" s="127"/>
      <c r="DA62" s="187">
        <v>0.87386268396247335</v>
      </c>
      <c r="DB62" s="127" t="s">
        <v>275</v>
      </c>
      <c r="DC62" s="91"/>
      <c r="DD62" s="107"/>
      <c r="DE62" s="107"/>
      <c r="DF62" s="107"/>
      <c r="DG62" s="99"/>
      <c r="DH62" s="107"/>
    </row>
    <row r="63" spans="1:113" x14ac:dyDescent="0.35">
      <c r="A63" s="62" t="s">
        <v>276</v>
      </c>
      <c r="B63" s="46" t="s">
        <v>178</v>
      </c>
      <c r="C63" s="345"/>
      <c r="D63" s="253" t="s">
        <v>277</v>
      </c>
      <c r="E63" s="291" t="s">
        <v>278</v>
      </c>
      <c r="F63" s="283"/>
      <c r="G63" s="241">
        <v>0.85</v>
      </c>
      <c r="H63" s="176" t="s">
        <v>114</v>
      </c>
      <c r="I63" s="176" t="s">
        <v>279</v>
      </c>
      <c r="J63" s="176" t="s">
        <v>110</v>
      </c>
      <c r="K63" s="77">
        <v>7</v>
      </c>
      <c r="M63" s="244">
        <v>12</v>
      </c>
      <c r="N63" s="119">
        <v>1006</v>
      </c>
      <c r="O63" s="120">
        <v>935</v>
      </c>
      <c r="P63" s="120">
        <v>752.5</v>
      </c>
      <c r="Q63" s="120">
        <v>681.4</v>
      </c>
      <c r="R63" s="120">
        <v>771.5</v>
      </c>
      <c r="S63" s="120">
        <v>796.25</v>
      </c>
      <c r="T63" s="120">
        <v>750.8</v>
      </c>
      <c r="U63" s="120">
        <v>724.5</v>
      </c>
      <c r="V63" s="120">
        <v>703.5</v>
      </c>
      <c r="W63" s="120">
        <v>287.39999999999998</v>
      </c>
      <c r="X63" s="120">
        <v>4</v>
      </c>
      <c r="Y63" s="120">
        <v>10</v>
      </c>
      <c r="Z63" s="120">
        <v>3</v>
      </c>
      <c r="AA63" s="120">
        <v>11</v>
      </c>
      <c r="AB63" s="165"/>
      <c r="AC63" s="245">
        <v>11.15555555555556</v>
      </c>
      <c r="AD63" s="245">
        <v>10.66054894179895</v>
      </c>
      <c r="AE63" s="245">
        <v>8.8641359321506492</v>
      </c>
      <c r="AF63" s="245">
        <v>7.9161699346405214</v>
      </c>
      <c r="AG63" s="245">
        <v>8.7879273653905994</v>
      </c>
      <c r="AH63" s="245">
        <v>9.0188338390911991</v>
      </c>
      <c r="AI63" s="245">
        <v>8.3462402738873411</v>
      </c>
      <c r="AJ63" s="245">
        <v>8.0664042561468996</v>
      </c>
      <c r="AK63" s="245">
        <v>8.0006543728602502</v>
      </c>
      <c r="AL63" s="245">
        <v>3.3819117647058818</v>
      </c>
      <c r="AM63" s="245">
        <v>8.0006543728602502</v>
      </c>
      <c r="AN63" s="245">
        <v>8.3462402738873411</v>
      </c>
      <c r="AO63" s="245">
        <v>8.0664042561468996</v>
      </c>
      <c r="AP63" s="245">
        <v>8.0006543728602502</v>
      </c>
      <c r="AQ63" s="165"/>
      <c r="AR63" s="121">
        <v>11.15555555555556</v>
      </c>
      <c r="AS63" s="121">
        <v>10.66054894179895</v>
      </c>
      <c r="AT63" s="121">
        <v>8.8641359321506492</v>
      </c>
      <c r="AU63" s="121">
        <v>7.9161699346405214</v>
      </c>
      <c r="AV63" s="121">
        <v>8.7879273653905994</v>
      </c>
      <c r="AW63" s="121">
        <v>9.0188338390911991</v>
      </c>
      <c r="AX63" s="121">
        <v>8.3462402738873411</v>
      </c>
      <c r="AY63" s="121">
        <v>8.0664042561468996</v>
      </c>
      <c r="AZ63" s="121">
        <v>8.0006543728602502</v>
      </c>
      <c r="BA63" s="121">
        <v>3.3819117647058818</v>
      </c>
      <c r="BB63" s="121">
        <v>0.11334889511360099</v>
      </c>
      <c r="BC63" s="121">
        <v>0.2833722377840025</v>
      </c>
      <c r="BD63" s="121">
        <v>8.5011671335200809E-2</v>
      </c>
      <c r="BE63" s="121">
        <v>0.31170946156240248</v>
      </c>
      <c r="BF63" s="153"/>
      <c r="BG63" s="246">
        <v>0.92962962962963003</v>
      </c>
      <c r="BH63" s="247">
        <v>0.88837907848324582</v>
      </c>
      <c r="BI63" s="247">
        <v>0.73867799434588743</v>
      </c>
      <c r="BJ63" s="247">
        <v>0.65968082788671001</v>
      </c>
      <c r="BK63" s="247">
        <v>0.73232728044921658</v>
      </c>
      <c r="BL63" s="247">
        <v>0.75156948659093326</v>
      </c>
      <c r="BM63" s="247">
        <v>0.69552002282394509</v>
      </c>
      <c r="BN63" s="247">
        <v>9.552320829647698</v>
      </c>
      <c r="BO63" s="247">
        <v>0.75156948659093326</v>
      </c>
      <c r="BP63" s="247">
        <v>0.69552002282394509</v>
      </c>
      <c r="BQ63" s="247">
        <v>9.552320829647698</v>
      </c>
      <c r="BR63" s="247">
        <v>5.9730845138944701</v>
      </c>
      <c r="BS63" s="247">
        <v>1.0784624880201761</v>
      </c>
      <c r="BT63" s="247">
        <v>1.9591056054767531</v>
      </c>
      <c r="BU63" s="169"/>
      <c r="BV63" s="172">
        <v>12</v>
      </c>
      <c r="BW63" s="210">
        <v>12</v>
      </c>
      <c r="BX63" s="210">
        <v>12</v>
      </c>
      <c r="BY63" s="210">
        <v>12</v>
      </c>
      <c r="BZ63" s="210">
        <v>12</v>
      </c>
      <c r="CA63" s="210">
        <v>12</v>
      </c>
      <c r="CB63" s="210">
        <v>12</v>
      </c>
      <c r="CC63" s="210">
        <v>12</v>
      </c>
      <c r="CD63" s="210">
        <v>12</v>
      </c>
      <c r="CE63" s="210">
        <v>12</v>
      </c>
      <c r="CF63" s="210">
        <v>12</v>
      </c>
      <c r="CG63" s="210">
        <v>12</v>
      </c>
      <c r="CH63" s="210">
        <v>12</v>
      </c>
      <c r="CI63" s="211">
        <v>12</v>
      </c>
      <c r="CJ63" s="249">
        <v>0.84444444444443967</v>
      </c>
      <c r="CK63" s="250">
        <v>1.3394510582010499</v>
      </c>
      <c r="CL63" s="250">
        <v>3.1358640678493508</v>
      </c>
      <c r="CM63" s="250">
        <v>4.0838300653594786</v>
      </c>
      <c r="CN63" s="284">
        <v>3.2120726346094011</v>
      </c>
      <c r="CO63" s="284">
        <v>2.9811661609088009</v>
      </c>
      <c r="CP63" s="284">
        <v>3.6537597261126589</v>
      </c>
      <c r="CQ63" s="284">
        <v>3.9335957438531</v>
      </c>
      <c r="CR63" s="284">
        <v>3.9993456271397498</v>
      </c>
      <c r="CS63" s="284">
        <v>8.6180882352941186</v>
      </c>
      <c r="CT63" s="284">
        <v>3.9993456271397498</v>
      </c>
      <c r="CU63" s="284">
        <v>3.6537597261126589</v>
      </c>
      <c r="CV63" s="284">
        <v>3.9335957438531</v>
      </c>
      <c r="CW63" s="284">
        <v>3.9993456271397498</v>
      </c>
      <c r="CX63" s="249">
        <v>2.7500840224978829</v>
      </c>
      <c r="CY63" s="251">
        <v>4.0838300653594786</v>
      </c>
      <c r="CZ63" s="127"/>
      <c r="DA63" s="187">
        <v>0.77082633145850976</v>
      </c>
      <c r="DB63" s="127" t="s">
        <v>280</v>
      </c>
      <c r="DC63" s="91"/>
      <c r="DD63" s="107"/>
      <c r="DE63" s="107"/>
      <c r="DF63" s="107"/>
      <c r="DG63" s="99"/>
      <c r="DH63" s="107"/>
      <c r="DI63" s="107"/>
    </row>
    <row r="64" spans="1:113" x14ac:dyDescent="0.35">
      <c r="A64" s="62" t="s">
        <v>281</v>
      </c>
      <c r="B64" s="46" t="s">
        <v>178</v>
      </c>
      <c r="C64" s="345"/>
      <c r="D64" s="253" t="s">
        <v>282</v>
      </c>
      <c r="E64" s="291" t="s">
        <v>184</v>
      </c>
      <c r="F64" s="283"/>
      <c r="G64" s="241">
        <v>0.85</v>
      </c>
      <c r="H64" s="286" t="s">
        <v>114</v>
      </c>
      <c r="I64" s="286" t="s">
        <v>181</v>
      </c>
      <c r="J64" s="286" t="s">
        <v>110</v>
      </c>
      <c r="K64" s="287">
        <v>2</v>
      </c>
      <c r="M64" s="244">
        <v>2</v>
      </c>
      <c r="N64" s="119">
        <v>33.799999999999997</v>
      </c>
      <c r="O64" s="120">
        <v>18.75</v>
      </c>
      <c r="P64" s="120">
        <v>18.75</v>
      </c>
      <c r="Q64" s="120">
        <v>12</v>
      </c>
      <c r="R64" s="120">
        <v>19</v>
      </c>
      <c r="S64" s="120">
        <v>13</v>
      </c>
      <c r="T64" s="120">
        <v>20</v>
      </c>
      <c r="U64" s="120">
        <v>39</v>
      </c>
      <c r="V64" s="120">
        <v>46</v>
      </c>
      <c r="W64" s="120">
        <v>25</v>
      </c>
      <c r="X64" s="120">
        <v>46</v>
      </c>
      <c r="Y64" s="120">
        <v>32</v>
      </c>
      <c r="Z64" s="120">
        <v>12.8</v>
      </c>
      <c r="AA64" s="120">
        <v>0</v>
      </c>
      <c r="AB64" s="165"/>
      <c r="AC64" s="245">
        <v>1.0570144724556481</v>
      </c>
      <c r="AD64" s="245">
        <v>0.80240429505135502</v>
      </c>
      <c r="AE64" s="245">
        <v>0.80240429505135502</v>
      </c>
      <c r="AF64" s="245">
        <v>0.51353874883286599</v>
      </c>
      <c r="AG64" s="245">
        <v>0.81310301898537252</v>
      </c>
      <c r="AH64" s="245">
        <v>0.55633364456893752</v>
      </c>
      <c r="AI64" s="245">
        <v>0.68820028011204404</v>
      </c>
      <c r="AJ64" s="245">
        <v>1.5655150949268599</v>
      </c>
      <c r="AK64" s="245">
        <v>1.733788515406163</v>
      </c>
      <c r="AL64" s="245">
        <v>1.069872393401806</v>
      </c>
      <c r="AM64" s="245">
        <v>1.733788515406163</v>
      </c>
      <c r="AN64" s="245">
        <v>0.68820028011204404</v>
      </c>
      <c r="AO64" s="245">
        <v>1.5655150949268599</v>
      </c>
      <c r="AP64" s="245">
        <v>1.733788515406163</v>
      </c>
      <c r="AQ64" s="165"/>
      <c r="AR64" s="121">
        <v>1.0570144724556481</v>
      </c>
      <c r="AS64" s="121">
        <v>0.80240429505135502</v>
      </c>
      <c r="AT64" s="121">
        <v>0.80240429505135502</v>
      </c>
      <c r="AU64" s="121">
        <v>0.51353874883286599</v>
      </c>
      <c r="AV64" s="121">
        <v>0.81310301898537252</v>
      </c>
      <c r="AW64" s="121">
        <v>0.55633364456893752</v>
      </c>
      <c r="AX64" s="121">
        <v>0.68820028011204404</v>
      </c>
      <c r="AY64" s="121">
        <v>1.5655150949268599</v>
      </c>
      <c r="AZ64" s="121">
        <v>1.733788515406163</v>
      </c>
      <c r="BA64" s="121">
        <v>1.069872393401806</v>
      </c>
      <c r="BB64" s="121">
        <v>1.733788515406163</v>
      </c>
      <c r="BC64" s="121">
        <v>1.36943666355431</v>
      </c>
      <c r="BD64" s="121">
        <v>0.54777466542172404</v>
      </c>
      <c r="BE64" s="121">
        <v>0</v>
      </c>
      <c r="BF64" s="153"/>
      <c r="BG64" s="288">
        <v>0.52850723622782403</v>
      </c>
      <c r="BH64" s="289">
        <v>0.40120214752567751</v>
      </c>
      <c r="BI64" s="289">
        <v>0.40120214752567751</v>
      </c>
      <c r="BJ64" s="289">
        <v>0.25676937441643299</v>
      </c>
      <c r="BK64" s="289">
        <v>0.40655150949268631</v>
      </c>
      <c r="BL64" s="289">
        <v>0.27816682228446882</v>
      </c>
      <c r="BM64" s="289">
        <v>0.34410014005602202</v>
      </c>
      <c r="BN64" s="289">
        <v>1.660168739814756</v>
      </c>
      <c r="BO64" s="289">
        <v>0.27816682228446882</v>
      </c>
      <c r="BP64" s="289">
        <v>0.34410014005602202</v>
      </c>
      <c r="BQ64" s="289">
        <v>1.660168739814756</v>
      </c>
      <c r="BR64" s="289">
        <v>1.4477243933339849</v>
      </c>
      <c r="BS64" s="289">
        <v>0.89335022577396761</v>
      </c>
      <c r="BT64" s="289">
        <v>1.1663866206030149</v>
      </c>
      <c r="BU64" s="169"/>
      <c r="BV64" s="172">
        <v>2</v>
      </c>
      <c r="BW64" s="210">
        <v>2</v>
      </c>
      <c r="BX64" s="210">
        <v>2</v>
      </c>
      <c r="BY64" s="210">
        <v>2</v>
      </c>
      <c r="BZ64" s="210">
        <v>2</v>
      </c>
      <c r="CA64" s="210">
        <v>2</v>
      </c>
      <c r="CB64" s="210">
        <v>2</v>
      </c>
      <c r="CC64" s="210">
        <v>2</v>
      </c>
      <c r="CD64" s="210">
        <v>2</v>
      </c>
      <c r="CE64" s="210">
        <v>2</v>
      </c>
      <c r="CF64" s="210">
        <v>2</v>
      </c>
      <c r="CG64" s="210">
        <v>2</v>
      </c>
      <c r="CH64" s="210">
        <v>2</v>
      </c>
      <c r="CI64" s="211">
        <v>2</v>
      </c>
      <c r="CJ64" s="249">
        <v>0.94298552754435194</v>
      </c>
      <c r="CK64" s="250">
        <v>1.197595704948645</v>
      </c>
      <c r="CL64" s="250">
        <v>1.197595704948645</v>
      </c>
      <c r="CM64" s="250">
        <v>1.486461251167134</v>
      </c>
      <c r="CN64" s="284">
        <v>1.186896981014627</v>
      </c>
      <c r="CO64" s="284">
        <v>1.443666355431062</v>
      </c>
      <c r="CP64" s="284">
        <v>1.3117997198879561</v>
      </c>
      <c r="CQ64" s="284">
        <v>0.43448490507314008</v>
      </c>
      <c r="CR64" s="284">
        <v>0.26621148459383748</v>
      </c>
      <c r="CS64" s="284">
        <v>0.93012760659819405</v>
      </c>
      <c r="CT64" s="284">
        <v>0.26621148459383748</v>
      </c>
      <c r="CU64" s="284">
        <v>1.3117997198879561</v>
      </c>
      <c r="CV64" s="284">
        <v>0.43448490507314008</v>
      </c>
      <c r="CW64" s="284">
        <v>0.26621148459383748</v>
      </c>
      <c r="CX64" s="249">
        <v>1.252428749277489</v>
      </c>
      <c r="CY64" s="251">
        <v>1.486461251167134</v>
      </c>
      <c r="CZ64" s="127"/>
      <c r="DA64" s="187">
        <v>0.37378562536125559</v>
      </c>
      <c r="DB64" s="127" t="s">
        <v>283</v>
      </c>
      <c r="DC64" s="91" t="s">
        <v>284</v>
      </c>
      <c r="DD64" s="107"/>
      <c r="DE64" s="107"/>
      <c r="DF64" s="107"/>
      <c r="DG64" s="99"/>
      <c r="DH64" s="107"/>
      <c r="DI64" s="107"/>
    </row>
    <row r="65" spans="1:113" x14ac:dyDescent="0.35">
      <c r="A65" s="62" t="s">
        <v>285</v>
      </c>
      <c r="B65" s="46" t="s">
        <v>178</v>
      </c>
      <c r="C65" s="345"/>
      <c r="D65" s="253" t="s">
        <v>286</v>
      </c>
      <c r="E65" s="291" t="s">
        <v>287</v>
      </c>
      <c r="F65" s="283"/>
      <c r="G65" s="241">
        <v>0.85</v>
      </c>
      <c r="H65" s="176" t="s">
        <v>137</v>
      </c>
      <c r="I65" s="176" t="s">
        <v>288</v>
      </c>
      <c r="J65" s="176" t="s">
        <v>110</v>
      </c>
      <c r="K65" s="177">
        <v>4</v>
      </c>
      <c r="M65" s="244">
        <v>2</v>
      </c>
      <c r="N65" s="119">
        <v>5</v>
      </c>
      <c r="O65" s="120">
        <v>7</v>
      </c>
      <c r="P65" s="120">
        <v>15.5</v>
      </c>
      <c r="Q65" s="120">
        <v>16.2</v>
      </c>
      <c r="R65" s="120">
        <v>16.5</v>
      </c>
      <c r="S65" s="120">
        <v>6.5</v>
      </c>
      <c r="T65" s="120">
        <v>6.2</v>
      </c>
      <c r="U65" s="120">
        <v>5</v>
      </c>
      <c r="V65" s="120">
        <v>5</v>
      </c>
      <c r="W65" s="120">
        <v>6</v>
      </c>
      <c r="X65" s="120">
        <v>7</v>
      </c>
      <c r="Y65" s="120">
        <v>7</v>
      </c>
      <c r="Z65" s="120">
        <v>6</v>
      </c>
      <c r="AA65" s="120">
        <v>6</v>
      </c>
      <c r="AB65" s="165"/>
      <c r="AC65" s="245">
        <v>5.9329287270463798E-4</v>
      </c>
      <c r="AD65" s="245">
        <v>1.633986928104575E-3</v>
      </c>
      <c r="AE65" s="245">
        <v>4.9833197167756102E-3</v>
      </c>
      <c r="AF65" s="245">
        <v>7.0580065359476998E-3</v>
      </c>
      <c r="AG65" s="245">
        <v>7.9471580298786249E-3</v>
      </c>
      <c r="AH65" s="245">
        <v>5.5234107531901616E-3</v>
      </c>
      <c r="AI65" s="245">
        <v>4.6342592592592564E-3</v>
      </c>
      <c r="AJ65" s="245">
        <v>1.0776532835356371E-3</v>
      </c>
      <c r="AK65" s="245">
        <v>1.0776532835356371E-3</v>
      </c>
      <c r="AL65" s="245">
        <v>0.14696934329287281</v>
      </c>
      <c r="AM65" s="245">
        <v>1.0776532835356371E-3</v>
      </c>
      <c r="AN65" s="245">
        <v>4.6342592592592564E-3</v>
      </c>
      <c r="AO65" s="245">
        <v>1.0776532835356371E-3</v>
      </c>
      <c r="AP65" s="245">
        <v>1.0776532835356371E-3</v>
      </c>
      <c r="AQ65" s="165"/>
      <c r="AR65" s="121">
        <v>5.9329287270463798E-4</v>
      </c>
      <c r="AS65" s="121">
        <v>1.633986928104575E-3</v>
      </c>
      <c r="AT65" s="121">
        <v>4.9833197167756102E-3</v>
      </c>
      <c r="AU65" s="121">
        <v>7.0580065359476998E-3</v>
      </c>
      <c r="AV65" s="121">
        <v>7.9471580298786249E-3</v>
      </c>
      <c r="AW65" s="121">
        <v>5.5234107531901616E-3</v>
      </c>
      <c r="AX65" s="121">
        <v>4.6342592592592564E-3</v>
      </c>
      <c r="AY65" s="121">
        <v>1.0776532835356371E-3</v>
      </c>
      <c r="AZ65" s="121">
        <v>1.0776532835356371E-3</v>
      </c>
      <c r="BA65" s="121">
        <v>0.14696934329287281</v>
      </c>
      <c r="BB65" s="121">
        <v>0.14720276999688781</v>
      </c>
      <c r="BC65" s="121">
        <v>0.14720276999688781</v>
      </c>
      <c r="BD65" s="121">
        <v>0.14696934329287281</v>
      </c>
      <c r="BE65" s="121">
        <v>0.14696934329287281</v>
      </c>
      <c r="BF65" s="153"/>
      <c r="BG65" s="288">
        <v>2.9664643635231899E-4</v>
      </c>
      <c r="BH65" s="289">
        <v>8.169934640522875E-4</v>
      </c>
      <c r="BI65" s="289">
        <v>2.4916598583878051E-3</v>
      </c>
      <c r="BJ65" s="289">
        <v>3.5290032679738499E-3</v>
      </c>
      <c r="BK65" s="289">
        <v>3.9735790149393116E-3</v>
      </c>
      <c r="BL65" s="289">
        <v>2.7617053765950808E-3</v>
      </c>
      <c r="BM65" s="289">
        <v>2.3171296296296282E-3</v>
      </c>
      <c r="BN65" s="289">
        <v>5.3898653020124487E-4</v>
      </c>
      <c r="BO65" s="289">
        <v>2.7617053765950808E-3</v>
      </c>
      <c r="BP65" s="289">
        <v>2.3171296296296282E-3</v>
      </c>
      <c r="BQ65" s="289">
        <v>5.3898653020124487E-4</v>
      </c>
      <c r="BR65" s="289">
        <v>5.3926721956157819E-4</v>
      </c>
      <c r="BS65" s="289">
        <v>7.3668227812515419E-2</v>
      </c>
      <c r="BT65" s="289">
        <v>5.4073489698639127E-4</v>
      </c>
      <c r="BU65" s="169"/>
      <c r="BV65" s="172">
        <v>2</v>
      </c>
      <c r="BW65" s="210">
        <v>2</v>
      </c>
      <c r="BX65" s="210">
        <v>2</v>
      </c>
      <c r="BY65" s="210">
        <v>2</v>
      </c>
      <c r="BZ65" s="210">
        <v>2</v>
      </c>
      <c r="CA65" s="210">
        <v>2</v>
      </c>
      <c r="CB65" s="210">
        <v>2</v>
      </c>
      <c r="CC65" s="210">
        <v>2</v>
      </c>
      <c r="CD65" s="210">
        <v>2</v>
      </c>
      <c r="CE65" s="210">
        <v>2</v>
      </c>
      <c r="CF65" s="210">
        <v>2</v>
      </c>
      <c r="CG65" s="210">
        <v>2</v>
      </c>
      <c r="CH65" s="210">
        <v>2</v>
      </c>
      <c r="CI65" s="211">
        <v>2</v>
      </c>
      <c r="CJ65" s="249">
        <v>1.999406707127295</v>
      </c>
      <c r="CK65" s="250">
        <v>1.998366013071895</v>
      </c>
      <c r="CL65" s="250">
        <v>1.9950166802832241</v>
      </c>
      <c r="CM65" s="250">
        <v>1.992941993464052</v>
      </c>
      <c r="CN65" s="284">
        <v>1.9920528419701209</v>
      </c>
      <c r="CO65" s="284">
        <v>1.9944765892468099</v>
      </c>
      <c r="CP65" s="284">
        <v>1.995365740740741</v>
      </c>
      <c r="CQ65" s="284">
        <v>1.9989223467164641</v>
      </c>
      <c r="CR65" s="284">
        <v>1.9989223467164641</v>
      </c>
      <c r="CS65" s="284">
        <v>1.8530306567071271</v>
      </c>
      <c r="CT65" s="284">
        <v>1.9989223467164641</v>
      </c>
      <c r="CU65" s="284">
        <v>1.995365740740741</v>
      </c>
      <c r="CV65" s="284">
        <v>1.9989223467164641</v>
      </c>
      <c r="CW65" s="284">
        <v>1.9989223467164641</v>
      </c>
      <c r="CX65" s="249">
        <v>1.9953752237005919</v>
      </c>
      <c r="CY65" s="251">
        <v>1.999406707127295</v>
      </c>
      <c r="CZ65" s="127"/>
      <c r="DA65" s="187">
        <v>2.312388149704248E-3</v>
      </c>
      <c r="DB65" s="127" t="s">
        <v>289</v>
      </c>
      <c r="DC65" s="91"/>
      <c r="DD65" s="107"/>
      <c r="DE65" s="107"/>
      <c r="DF65" s="107"/>
      <c r="DG65" s="99"/>
      <c r="DH65" s="107"/>
      <c r="DI65" s="107"/>
    </row>
    <row r="66" spans="1:113" x14ac:dyDescent="0.35">
      <c r="A66" s="62" t="s">
        <v>290</v>
      </c>
      <c r="B66" s="46" t="s">
        <v>178</v>
      </c>
      <c r="C66" s="345"/>
      <c r="D66" s="253" t="s">
        <v>285</v>
      </c>
      <c r="E66" s="291" t="s">
        <v>55</v>
      </c>
      <c r="F66" s="283"/>
      <c r="G66" s="241">
        <v>0.85</v>
      </c>
      <c r="H66" s="176" t="s">
        <v>137</v>
      </c>
      <c r="I66" s="176" t="s">
        <v>291</v>
      </c>
      <c r="J66" s="176" t="s">
        <v>110</v>
      </c>
      <c r="K66" s="177">
        <v>2</v>
      </c>
      <c r="M66" s="244">
        <v>6</v>
      </c>
      <c r="N66" s="119">
        <v>79</v>
      </c>
      <c r="O66" s="120">
        <v>75</v>
      </c>
      <c r="P66" s="120">
        <v>52</v>
      </c>
      <c r="Q66" s="120">
        <v>81</v>
      </c>
      <c r="R66" s="120">
        <v>84</v>
      </c>
      <c r="S66" s="120">
        <v>19</v>
      </c>
      <c r="T66" s="120">
        <v>70</v>
      </c>
      <c r="U66" s="120">
        <v>1</v>
      </c>
      <c r="V66" s="120">
        <v>1</v>
      </c>
      <c r="W66" s="120">
        <v>0</v>
      </c>
      <c r="X66" s="120">
        <v>1</v>
      </c>
      <c r="Y66" s="120">
        <v>1</v>
      </c>
      <c r="Z66" s="120">
        <v>0</v>
      </c>
      <c r="AA66" s="120">
        <v>1</v>
      </c>
      <c r="AB66" s="165"/>
      <c r="AC66" s="245">
        <v>3.4876342203548001</v>
      </c>
      <c r="AD66" s="245">
        <v>3.4281486668741499</v>
      </c>
      <c r="AE66" s="245">
        <v>2.394601359062142</v>
      </c>
      <c r="AF66" s="245">
        <v>3.7757288100425401</v>
      </c>
      <c r="AG66" s="245">
        <v>3.8942713196389751</v>
      </c>
      <c r="AH66" s="245">
        <v>0.87968020541549996</v>
      </c>
      <c r="AI66" s="245">
        <v>2.9788327367984322</v>
      </c>
      <c r="AJ66" s="245">
        <v>2.5287892934951751E-2</v>
      </c>
      <c r="AK66" s="245">
        <v>2.5287892934951751E-2</v>
      </c>
      <c r="AL66" s="245">
        <v>0</v>
      </c>
      <c r="AM66" s="245">
        <v>2.5287892934951751E-2</v>
      </c>
      <c r="AN66" s="245">
        <v>2.9788327367984322</v>
      </c>
      <c r="AO66" s="245">
        <v>2.5287892934951751E-2</v>
      </c>
      <c r="AP66" s="245">
        <v>2.5287892934951751E-2</v>
      </c>
      <c r="AQ66" s="165"/>
      <c r="AR66" s="121">
        <v>3.4876342203548001</v>
      </c>
      <c r="AS66" s="121">
        <v>3.4281486668741499</v>
      </c>
      <c r="AT66" s="121">
        <v>2.394601359062142</v>
      </c>
      <c r="AU66" s="121">
        <v>3.7757288100425401</v>
      </c>
      <c r="AV66" s="121">
        <v>3.8942713196389751</v>
      </c>
      <c r="AW66" s="121">
        <v>0.87968020541549996</v>
      </c>
      <c r="AX66" s="121">
        <v>2.9788327367984322</v>
      </c>
      <c r="AY66" s="121">
        <v>2.5287892934951751E-2</v>
      </c>
      <c r="AZ66" s="121">
        <v>2.5287892934951751E-2</v>
      </c>
      <c r="BA66" s="121">
        <v>0</v>
      </c>
      <c r="BB66" s="121">
        <v>2.5287892934951751E-2</v>
      </c>
      <c r="BC66" s="121">
        <v>2.5287892934951751E-2</v>
      </c>
      <c r="BD66" s="121">
        <v>0</v>
      </c>
      <c r="BE66" s="121">
        <v>2.5287892934951751E-2</v>
      </c>
      <c r="BF66" s="153"/>
      <c r="BG66" s="300">
        <v>0.58127237005913335</v>
      </c>
      <c r="BH66" s="301">
        <v>0.57135811114569168</v>
      </c>
      <c r="BI66" s="301">
        <v>0.39910022651035709</v>
      </c>
      <c r="BJ66" s="301">
        <v>0.62928813500708991</v>
      </c>
      <c r="BK66" s="301">
        <v>0.64904521993982922</v>
      </c>
      <c r="BL66" s="301">
        <v>0.14661336756925</v>
      </c>
      <c r="BM66" s="301">
        <v>0.49647212279973862</v>
      </c>
      <c r="BN66" s="301">
        <v>1.006537071147456E-2</v>
      </c>
      <c r="BO66" s="301">
        <v>0.14661336756925</v>
      </c>
      <c r="BP66" s="301">
        <v>0.49647212279973862</v>
      </c>
      <c r="BQ66" s="301">
        <v>1.006537071147456E-2</v>
      </c>
      <c r="BR66" s="301">
        <v>9.8325640402459145E-3</v>
      </c>
      <c r="BS66" s="301">
        <v>0</v>
      </c>
      <c r="BT66" s="301">
        <v>1.136906913560095E-2</v>
      </c>
      <c r="BU66" s="169"/>
      <c r="BV66" s="172">
        <v>6</v>
      </c>
      <c r="BW66" s="210">
        <v>6</v>
      </c>
      <c r="BX66" s="210">
        <v>6</v>
      </c>
      <c r="BY66" s="210">
        <v>6</v>
      </c>
      <c r="BZ66" s="210">
        <v>6</v>
      </c>
      <c r="CA66" s="210">
        <v>6</v>
      </c>
      <c r="CB66" s="210">
        <v>6</v>
      </c>
      <c r="CC66" s="210">
        <v>6</v>
      </c>
      <c r="CD66" s="210">
        <v>6</v>
      </c>
      <c r="CE66" s="210">
        <v>6</v>
      </c>
      <c r="CF66" s="210">
        <v>6</v>
      </c>
      <c r="CG66" s="210">
        <v>6</v>
      </c>
      <c r="CH66" s="210">
        <v>6</v>
      </c>
      <c r="CI66" s="211">
        <v>6</v>
      </c>
      <c r="CJ66" s="249">
        <v>2.5123657796451999</v>
      </c>
      <c r="CK66" s="250">
        <v>2.5718513331258501</v>
      </c>
      <c r="CL66" s="250">
        <v>3.605398640937858</v>
      </c>
      <c r="CM66" s="250">
        <v>2.2242711899574599</v>
      </c>
      <c r="CN66" s="284">
        <v>2.1057286803610249</v>
      </c>
      <c r="CO66" s="284">
        <v>5.1203197945844998</v>
      </c>
      <c r="CP66" s="284">
        <v>3.0211672632015678</v>
      </c>
      <c r="CQ66" s="284">
        <v>5.9747121070650486</v>
      </c>
      <c r="CR66" s="284">
        <v>5.9747121070650486</v>
      </c>
      <c r="CS66" s="284">
        <v>6</v>
      </c>
      <c r="CT66" s="284">
        <v>5.9747121070650486</v>
      </c>
      <c r="CU66" s="284">
        <v>3.0211672632015678</v>
      </c>
      <c r="CV66" s="284">
        <v>5.9747121070650486</v>
      </c>
      <c r="CW66" s="284">
        <v>5.9747121070650486</v>
      </c>
      <c r="CX66" s="249">
        <v>3.023014668830494</v>
      </c>
      <c r="CY66" s="251">
        <v>5.1203197945844998</v>
      </c>
      <c r="CZ66" s="127"/>
      <c r="DA66" s="187">
        <v>0.49616422186158432</v>
      </c>
      <c r="DB66" s="127" t="s">
        <v>292</v>
      </c>
      <c r="DC66" s="91"/>
    </row>
    <row r="67" spans="1:113" x14ac:dyDescent="0.35">
      <c r="A67" s="62" t="s">
        <v>254</v>
      </c>
      <c r="B67" s="46" t="s">
        <v>178</v>
      </c>
      <c r="C67" s="345"/>
      <c r="D67" s="253" t="s">
        <v>66</v>
      </c>
      <c r="E67" s="291" t="s">
        <v>293</v>
      </c>
      <c r="F67" s="283"/>
      <c r="G67" s="241">
        <v>0.85</v>
      </c>
      <c r="H67" s="286" t="s">
        <v>108</v>
      </c>
      <c r="I67" s="286" t="s">
        <v>185</v>
      </c>
      <c r="J67" s="286" t="s">
        <v>110</v>
      </c>
      <c r="K67" s="287">
        <v>3</v>
      </c>
      <c r="M67" s="244">
        <v>1</v>
      </c>
      <c r="N67" s="119">
        <v>0</v>
      </c>
      <c r="O67" s="120">
        <v>0</v>
      </c>
      <c r="P67" s="120">
        <v>0</v>
      </c>
      <c r="Q67" s="120">
        <v>0</v>
      </c>
      <c r="R67" s="120">
        <v>0</v>
      </c>
      <c r="S67" s="120">
        <v>0</v>
      </c>
      <c r="T67" s="120">
        <v>0</v>
      </c>
      <c r="U67" s="120">
        <v>0</v>
      </c>
      <c r="V67" s="120">
        <v>0</v>
      </c>
      <c r="W67" s="120">
        <v>0</v>
      </c>
      <c r="X67" s="120">
        <v>0</v>
      </c>
      <c r="Y67" s="120">
        <v>0</v>
      </c>
      <c r="Z67" s="120">
        <v>0</v>
      </c>
      <c r="AA67" s="120">
        <v>0</v>
      </c>
      <c r="AB67" s="165"/>
      <c r="AC67" s="245">
        <v>0</v>
      </c>
      <c r="AD67" s="245">
        <v>0</v>
      </c>
      <c r="AE67" s="245">
        <v>0</v>
      </c>
      <c r="AF67" s="245">
        <v>0</v>
      </c>
      <c r="AG67" s="245">
        <v>0</v>
      </c>
      <c r="AH67" s="245">
        <v>0</v>
      </c>
      <c r="AI67" s="245">
        <v>0</v>
      </c>
      <c r="AJ67" s="245">
        <v>0</v>
      </c>
      <c r="AK67" s="245">
        <v>0</v>
      </c>
      <c r="AL67" s="245">
        <v>0</v>
      </c>
      <c r="AM67" s="245">
        <v>0</v>
      </c>
      <c r="AN67" s="245">
        <v>0</v>
      </c>
      <c r="AO67" s="245">
        <v>0</v>
      </c>
      <c r="AP67" s="245">
        <v>0</v>
      </c>
      <c r="AQ67" s="165"/>
      <c r="AR67" s="121">
        <v>0</v>
      </c>
      <c r="AS67" s="121">
        <v>0</v>
      </c>
      <c r="AT67" s="121">
        <v>0</v>
      </c>
      <c r="AU67" s="121">
        <v>0</v>
      </c>
      <c r="AV67" s="121">
        <v>0</v>
      </c>
      <c r="AW67" s="121">
        <v>0</v>
      </c>
      <c r="AX67" s="121">
        <v>0</v>
      </c>
      <c r="AY67" s="121">
        <v>0</v>
      </c>
      <c r="AZ67" s="121">
        <v>0</v>
      </c>
      <c r="BA67" s="121">
        <v>0</v>
      </c>
      <c r="BB67" s="121">
        <v>0</v>
      </c>
      <c r="BC67" s="121">
        <v>0</v>
      </c>
      <c r="BD67" s="121">
        <v>0</v>
      </c>
      <c r="BE67" s="121">
        <v>0</v>
      </c>
      <c r="BF67" s="153"/>
      <c r="BG67" s="246">
        <v>0</v>
      </c>
      <c r="BH67" s="247">
        <v>0</v>
      </c>
      <c r="BI67" s="247">
        <v>0</v>
      </c>
      <c r="BJ67" s="247">
        <v>0</v>
      </c>
      <c r="BK67" s="247">
        <v>0</v>
      </c>
      <c r="BL67" s="247">
        <v>0</v>
      </c>
      <c r="BM67" s="247">
        <v>0</v>
      </c>
      <c r="BN67" s="247">
        <v>0</v>
      </c>
      <c r="BO67" s="247">
        <v>0</v>
      </c>
      <c r="BP67" s="247">
        <v>0</v>
      </c>
      <c r="BQ67" s="247">
        <v>0</v>
      </c>
      <c r="BR67" s="247">
        <v>0</v>
      </c>
      <c r="BS67" s="247">
        <v>0</v>
      </c>
      <c r="BT67" s="247">
        <v>0</v>
      </c>
      <c r="BU67" s="169"/>
      <c r="BV67" s="172">
        <v>1</v>
      </c>
      <c r="BW67" s="210">
        <v>1</v>
      </c>
      <c r="BX67" s="210">
        <v>1</v>
      </c>
      <c r="BY67" s="210">
        <v>1</v>
      </c>
      <c r="BZ67" s="210">
        <v>1</v>
      </c>
      <c r="CA67" s="210">
        <v>1</v>
      </c>
      <c r="CB67" s="210">
        <v>1</v>
      </c>
      <c r="CC67" s="210">
        <v>1</v>
      </c>
      <c r="CD67" s="210">
        <v>1</v>
      </c>
      <c r="CE67" s="210">
        <v>1</v>
      </c>
      <c r="CF67" s="210">
        <v>1</v>
      </c>
      <c r="CG67" s="210">
        <v>1</v>
      </c>
      <c r="CH67" s="210">
        <v>1</v>
      </c>
      <c r="CI67" s="211">
        <v>1</v>
      </c>
      <c r="CJ67" s="249">
        <v>1</v>
      </c>
      <c r="CK67" s="250">
        <v>1</v>
      </c>
      <c r="CL67" s="250">
        <v>1</v>
      </c>
      <c r="CM67" s="250">
        <v>1</v>
      </c>
      <c r="CN67" s="284">
        <v>1</v>
      </c>
      <c r="CO67" s="284">
        <v>1</v>
      </c>
      <c r="CP67" s="284">
        <v>1</v>
      </c>
      <c r="CQ67" s="284">
        <v>1</v>
      </c>
      <c r="CR67" s="284">
        <v>1</v>
      </c>
      <c r="CS67" s="284">
        <v>1</v>
      </c>
      <c r="CT67" s="284">
        <v>1</v>
      </c>
      <c r="CU67" s="284">
        <v>1</v>
      </c>
      <c r="CV67" s="284">
        <v>1</v>
      </c>
      <c r="CW67" s="284">
        <v>1</v>
      </c>
      <c r="CX67" s="249">
        <v>1</v>
      </c>
      <c r="CY67" s="251">
        <v>1</v>
      </c>
      <c r="CZ67" s="127"/>
      <c r="DA67" s="187">
        <v>0</v>
      </c>
      <c r="DB67" s="127" t="s">
        <v>294</v>
      </c>
      <c r="DC67" s="91"/>
    </row>
    <row r="68" spans="1:113" x14ac:dyDescent="0.35">
      <c r="B68" s="46" t="s">
        <v>178</v>
      </c>
      <c r="C68" s="345"/>
      <c r="D68" s="302" t="s">
        <v>295</v>
      </c>
      <c r="E68" s="291" t="s">
        <v>61</v>
      </c>
      <c r="F68" s="292"/>
      <c r="G68" s="241">
        <v>0.85</v>
      </c>
      <c r="H68" s="303" t="s">
        <v>114</v>
      </c>
      <c r="I68" s="303"/>
      <c r="J68" s="303"/>
      <c r="K68" s="304">
        <v>1</v>
      </c>
      <c r="M68" s="244">
        <v>23</v>
      </c>
      <c r="N68" s="119">
        <v>356.6</v>
      </c>
      <c r="O68" s="120">
        <v>271.75</v>
      </c>
      <c r="P68" s="120">
        <v>306.25</v>
      </c>
      <c r="Q68" s="120">
        <v>458</v>
      </c>
      <c r="R68" s="120">
        <v>233</v>
      </c>
      <c r="S68" s="120">
        <v>291</v>
      </c>
      <c r="T68" s="120">
        <v>367.2</v>
      </c>
      <c r="U68" s="120">
        <v>317.5</v>
      </c>
      <c r="V68" s="120">
        <v>269.75</v>
      </c>
      <c r="W68" s="120">
        <v>335.8</v>
      </c>
      <c r="X68" s="120">
        <v>0</v>
      </c>
      <c r="Y68" s="120">
        <v>0</v>
      </c>
      <c r="Z68" s="120">
        <v>0</v>
      </c>
      <c r="AA68" s="120">
        <v>0</v>
      </c>
      <c r="AB68" s="165"/>
      <c r="AC68" s="245">
        <v>4.0963118580765601</v>
      </c>
      <c r="AD68" s="245">
        <v>3.5044351073762749</v>
      </c>
      <c r="AE68" s="245">
        <v>3.81944444444445</v>
      </c>
      <c r="AF68" s="245">
        <v>4.20242763772176</v>
      </c>
      <c r="AG68" s="245">
        <v>2.1420401493930901</v>
      </c>
      <c r="AH68" s="245">
        <v>2.68364845938375</v>
      </c>
      <c r="AI68" s="245">
        <v>3.3477591036414598</v>
      </c>
      <c r="AJ68" s="245">
        <v>2.8904645191410001</v>
      </c>
      <c r="AK68" s="245">
        <v>2.4463702147525681</v>
      </c>
      <c r="AL68" s="245">
        <v>3.0598039215686201</v>
      </c>
      <c r="AM68" s="245">
        <v>2.4463702147525681</v>
      </c>
      <c r="AN68" s="245">
        <v>3.3477591036414598</v>
      </c>
      <c r="AO68" s="245">
        <v>2.8904645191410001</v>
      </c>
      <c r="AP68" s="245">
        <v>2.4463702147525681</v>
      </c>
      <c r="AQ68" s="165"/>
      <c r="AR68" s="121">
        <v>4.0285247432306202</v>
      </c>
      <c r="AS68" s="121">
        <v>3.5044351073762749</v>
      </c>
      <c r="AT68" s="121">
        <v>3.81944444444445</v>
      </c>
      <c r="AU68" s="121">
        <v>4.20242763772176</v>
      </c>
      <c r="AV68" s="121">
        <v>2.1420401493930901</v>
      </c>
      <c r="AW68" s="121">
        <v>2.68364845938375</v>
      </c>
      <c r="AX68" s="121">
        <v>3.3477591036414598</v>
      </c>
      <c r="AY68" s="121">
        <v>2.8904645191410001</v>
      </c>
      <c r="AZ68" s="121">
        <v>2.4463702147525681</v>
      </c>
      <c r="BA68" s="121">
        <v>3.0598039215686201</v>
      </c>
      <c r="BB68" s="121">
        <v>0</v>
      </c>
      <c r="BC68" s="121">
        <v>0</v>
      </c>
      <c r="BD68" s="121">
        <v>0</v>
      </c>
      <c r="BE68" s="121">
        <v>0</v>
      </c>
      <c r="BF68" s="153"/>
      <c r="BG68" s="246">
        <v>0.17810051556854611</v>
      </c>
      <c r="BH68" s="247">
        <v>0.1523667437989685</v>
      </c>
      <c r="BI68" s="247">
        <v>0.16606280193236739</v>
      </c>
      <c r="BJ68" s="247">
        <v>0.18271424511833739</v>
      </c>
      <c r="BK68" s="247">
        <v>9.3132180408395215E-2</v>
      </c>
      <c r="BL68" s="247">
        <v>0.1166803677992935</v>
      </c>
      <c r="BM68" s="247">
        <v>0.14555474363658519</v>
      </c>
      <c r="BN68" s="247">
        <v>0.15290479283408751</v>
      </c>
      <c r="BO68" s="247">
        <v>0.1166803677992935</v>
      </c>
      <c r="BP68" s="247">
        <v>0.14555474363658519</v>
      </c>
      <c r="BQ68" s="247">
        <v>0.15290479283408751</v>
      </c>
      <c r="BR68" s="247">
        <v>0.12548342293370371</v>
      </c>
      <c r="BS68" s="247">
        <v>0.1595263449333387</v>
      </c>
      <c r="BT68" s="247">
        <v>0.13014288055950171</v>
      </c>
      <c r="BU68" s="169"/>
      <c r="BV68" s="172">
        <v>23</v>
      </c>
      <c r="BW68" s="210">
        <v>23</v>
      </c>
      <c r="BX68" s="210">
        <v>23</v>
      </c>
      <c r="BY68" s="210">
        <v>23</v>
      </c>
      <c r="BZ68" s="210">
        <v>23</v>
      </c>
      <c r="CA68" s="210">
        <v>23</v>
      </c>
      <c r="CB68" s="210">
        <v>23</v>
      </c>
      <c r="CC68" s="210">
        <v>23</v>
      </c>
      <c r="CD68" s="210">
        <v>23</v>
      </c>
      <c r="CE68" s="210">
        <v>23</v>
      </c>
      <c r="CF68" s="210">
        <v>23</v>
      </c>
      <c r="CG68" s="210">
        <v>23</v>
      </c>
      <c r="CH68" s="210">
        <v>23</v>
      </c>
      <c r="CI68" s="211">
        <v>23</v>
      </c>
      <c r="CJ68" s="249">
        <v>18.903688141923439</v>
      </c>
      <c r="CK68" s="250">
        <v>19.495564892623729</v>
      </c>
      <c r="CL68" s="250">
        <v>19.18055555555555</v>
      </c>
      <c r="CM68" s="250">
        <v>18.797572362278238</v>
      </c>
      <c r="CN68" s="284">
        <v>20.85795985060691</v>
      </c>
      <c r="CO68" s="284">
        <v>20.31635154061625</v>
      </c>
      <c r="CP68" s="284">
        <v>19.652240896358538</v>
      </c>
      <c r="CQ68" s="284">
        <v>20.109535480859002</v>
      </c>
      <c r="CR68" s="284">
        <v>20.553629785247431</v>
      </c>
      <c r="CS68" s="284">
        <v>19.940196078431381</v>
      </c>
      <c r="CT68" s="284">
        <v>20.553629785247431</v>
      </c>
      <c r="CU68" s="284">
        <v>19.652240896358538</v>
      </c>
      <c r="CV68" s="284">
        <v>20.109535480859002</v>
      </c>
      <c r="CW68" s="284">
        <v>20.553629785247431</v>
      </c>
      <c r="CX68" s="249">
        <v>19.60056189142324</v>
      </c>
      <c r="CY68" s="251">
        <v>20.85795985060691</v>
      </c>
      <c r="CZ68" s="127"/>
      <c r="DA68" s="187">
        <v>0.14780165689464189</v>
      </c>
      <c r="DB68" s="127" t="s">
        <v>296</v>
      </c>
      <c r="DC68" s="91"/>
    </row>
    <row r="69" spans="1:113" x14ac:dyDescent="0.35">
      <c r="B69" s="46" t="s">
        <v>178</v>
      </c>
      <c r="C69" s="345"/>
      <c r="D69" s="253" t="s">
        <v>172</v>
      </c>
      <c r="E69" s="291"/>
      <c r="F69" s="283"/>
      <c r="G69" s="241">
        <v>0.85</v>
      </c>
      <c r="H69" s="286"/>
      <c r="I69" s="286"/>
      <c r="J69" s="286"/>
      <c r="K69" s="287">
        <v>1</v>
      </c>
      <c r="M69" s="244">
        <v>14</v>
      </c>
      <c r="N69" s="119">
        <v>0</v>
      </c>
      <c r="O69" s="120">
        <v>0</v>
      </c>
      <c r="P69" s="120">
        <v>0</v>
      </c>
      <c r="Q69" s="120">
        <v>0</v>
      </c>
      <c r="R69" s="120">
        <v>0</v>
      </c>
      <c r="S69" s="120">
        <v>0</v>
      </c>
      <c r="T69" s="120">
        <v>0</v>
      </c>
      <c r="U69" s="120">
        <v>0</v>
      </c>
      <c r="V69" s="120">
        <v>0</v>
      </c>
      <c r="W69" s="120">
        <v>0</v>
      </c>
      <c r="X69" s="120">
        <v>0</v>
      </c>
      <c r="Y69" s="120">
        <v>0</v>
      </c>
      <c r="Z69" s="120">
        <v>0</v>
      </c>
      <c r="AA69" s="120">
        <v>0</v>
      </c>
      <c r="AB69" s="165"/>
      <c r="AC69" s="245">
        <v>0</v>
      </c>
      <c r="AD69" s="245">
        <v>0</v>
      </c>
      <c r="AE69" s="245">
        <v>0</v>
      </c>
      <c r="AF69" s="245">
        <v>0</v>
      </c>
      <c r="AG69" s="245">
        <v>0</v>
      </c>
      <c r="AH69" s="245">
        <v>0</v>
      </c>
      <c r="AI69" s="245">
        <v>0</v>
      </c>
      <c r="AJ69" s="245">
        <v>0</v>
      </c>
      <c r="AK69" s="245">
        <v>0</v>
      </c>
      <c r="AL69" s="245">
        <v>0</v>
      </c>
      <c r="AM69" s="245">
        <v>0</v>
      </c>
      <c r="AN69" s="245">
        <v>0</v>
      </c>
      <c r="AO69" s="245">
        <v>0</v>
      </c>
      <c r="AP69" s="245">
        <v>0</v>
      </c>
      <c r="AQ69" s="165"/>
      <c r="AR69" s="121">
        <v>0</v>
      </c>
      <c r="AS69" s="121">
        <v>0</v>
      </c>
      <c r="AT69" s="121">
        <v>0</v>
      </c>
      <c r="AU69" s="121">
        <v>0</v>
      </c>
      <c r="AV69" s="121">
        <v>0</v>
      </c>
      <c r="AW69" s="121">
        <v>0</v>
      </c>
      <c r="AX69" s="121">
        <v>0</v>
      </c>
      <c r="AY69" s="121">
        <v>0</v>
      </c>
      <c r="AZ69" s="121">
        <v>0</v>
      </c>
      <c r="BA69" s="121">
        <v>0</v>
      </c>
      <c r="BB69" s="121">
        <v>0</v>
      </c>
      <c r="BC69" s="121">
        <v>0</v>
      </c>
      <c r="BD69" s="121">
        <v>0</v>
      </c>
      <c r="BE69" s="121">
        <v>0</v>
      </c>
      <c r="BF69" s="153"/>
      <c r="BG69" s="246">
        <v>0</v>
      </c>
      <c r="BH69" s="247">
        <v>0</v>
      </c>
      <c r="BI69" s="247">
        <v>0</v>
      </c>
      <c r="BJ69" s="247">
        <v>0</v>
      </c>
      <c r="BK69" s="247">
        <v>0</v>
      </c>
      <c r="BL69" s="247">
        <v>0</v>
      </c>
      <c r="BM69" s="247">
        <v>0</v>
      </c>
      <c r="BN69" s="247">
        <v>0</v>
      </c>
      <c r="BO69" s="247">
        <v>0</v>
      </c>
      <c r="BP69" s="247">
        <v>0</v>
      </c>
      <c r="BQ69" s="247">
        <v>0</v>
      </c>
      <c r="BR69" s="247">
        <v>0</v>
      </c>
      <c r="BS69" s="247">
        <v>0</v>
      </c>
      <c r="BT69" s="247">
        <v>0</v>
      </c>
      <c r="BU69" s="169"/>
      <c r="BV69" s="172">
        <v>14</v>
      </c>
      <c r="BW69" s="210">
        <v>14</v>
      </c>
      <c r="BX69" s="210">
        <v>17</v>
      </c>
      <c r="BY69" s="210">
        <v>17</v>
      </c>
      <c r="BZ69" s="210">
        <v>17</v>
      </c>
      <c r="CA69" s="210">
        <v>17</v>
      </c>
      <c r="CB69" s="210">
        <v>17</v>
      </c>
      <c r="CC69" s="210">
        <v>17</v>
      </c>
      <c r="CD69" s="210">
        <v>17</v>
      </c>
      <c r="CE69" s="210">
        <v>17</v>
      </c>
      <c r="CF69" s="210">
        <v>17</v>
      </c>
      <c r="CG69" s="210">
        <v>17</v>
      </c>
      <c r="CH69" s="210">
        <v>17</v>
      </c>
      <c r="CI69" s="211">
        <v>17</v>
      </c>
      <c r="CJ69" s="249">
        <v>14</v>
      </c>
      <c r="CK69" s="250">
        <v>14</v>
      </c>
      <c r="CL69" s="250">
        <v>17</v>
      </c>
      <c r="CM69" s="250">
        <v>17</v>
      </c>
      <c r="CN69" s="284">
        <v>17</v>
      </c>
      <c r="CO69" s="284">
        <v>17</v>
      </c>
      <c r="CP69" s="284">
        <v>17</v>
      </c>
      <c r="CQ69" s="284">
        <v>17</v>
      </c>
      <c r="CR69" s="284">
        <v>17</v>
      </c>
      <c r="CS69" s="284">
        <v>17</v>
      </c>
      <c r="CT69" s="284">
        <v>17</v>
      </c>
      <c r="CU69" s="284">
        <v>17</v>
      </c>
      <c r="CV69" s="284">
        <v>17</v>
      </c>
      <c r="CW69" s="284">
        <v>17</v>
      </c>
      <c r="CX69" s="249">
        <v>16.142857142857139</v>
      </c>
      <c r="CY69" s="251">
        <v>17</v>
      </c>
      <c r="CZ69" s="127"/>
      <c r="DA69" s="187">
        <v>0</v>
      </c>
      <c r="DB69" s="127" t="s">
        <v>297</v>
      </c>
      <c r="DC69" s="91"/>
    </row>
    <row r="70" spans="1:113" x14ac:dyDescent="0.35">
      <c r="B70" s="46" t="s">
        <v>178</v>
      </c>
      <c r="C70" s="345"/>
      <c r="D70" s="253" t="s">
        <v>45</v>
      </c>
      <c r="E70" s="291" t="s">
        <v>59</v>
      </c>
      <c r="F70" s="283"/>
      <c r="G70" s="241"/>
      <c r="H70" s="286"/>
      <c r="I70" s="286"/>
      <c r="J70" s="286"/>
      <c r="K70" s="287"/>
      <c r="M70" s="244">
        <v>5</v>
      </c>
      <c r="N70" s="119">
        <v>80</v>
      </c>
      <c r="O70" s="120">
        <v>85</v>
      </c>
      <c r="P70" s="120">
        <v>90</v>
      </c>
      <c r="Q70" s="120">
        <v>83</v>
      </c>
      <c r="R70" s="120">
        <v>70.5</v>
      </c>
      <c r="S70" s="120">
        <v>94</v>
      </c>
      <c r="T70" s="120">
        <v>113</v>
      </c>
      <c r="U70" s="120">
        <v>144</v>
      </c>
      <c r="V70" s="120">
        <v>129.25</v>
      </c>
      <c r="W70" s="120">
        <v>103.2</v>
      </c>
      <c r="X70" s="120">
        <v>0</v>
      </c>
      <c r="Y70" s="120">
        <v>0</v>
      </c>
      <c r="Z70" s="120">
        <v>0</v>
      </c>
      <c r="AA70" s="120">
        <v>0</v>
      </c>
      <c r="AB70" s="165"/>
      <c r="AC70" s="245">
        <v>3.7477954144620802</v>
      </c>
      <c r="AD70" s="245">
        <v>3.9820326278659501</v>
      </c>
      <c r="AE70" s="245">
        <v>4.2162698412698498</v>
      </c>
      <c r="AF70" s="245">
        <v>3.8883377425044001</v>
      </c>
      <c r="AG70" s="245">
        <v>3.3027447089947</v>
      </c>
      <c r="AH70" s="245">
        <v>4.4036596119929499</v>
      </c>
      <c r="AI70" s="245">
        <v>5.2937610229276801</v>
      </c>
      <c r="AJ70" s="245">
        <v>6.7460317460317496</v>
      </c>
      <c r="AK70" s="245">
        <v>6.0550319664902998</v>
      </c>
      <c r="AL70" s="245">
        <v>4.8346560846560802</v>
      </c>
      <c r="AM70" s="245">
        <v>6.0550319664902998</v>
      </c>
      <c r="AN70" s="245">
        <v>5.2937610229276801</v>
      </c>
      <c r="AO70" s="245">
        <v>6.7460317460317496</v>
      </c>
      <c r="AP70" s="245">
        <v>6.0550319664902998</v>
      </c>
      <c r="AQ70" s="165"/>
      <c r="AR70" s="121">
        <v>3.2793209876543199</v>
      </c>
      <c r="AS70" s="121">
        <v>3.9820326278659501</v>
      </c>
      <c r="AT70" s="121">
        <v>4.2162698412698498</v>
      </c>
      <c r="AU70" s="121">
        <v>4.5160934744267998</v>
      </c>
      <c r="AV70" s="121">
        <v>4.96582892416225</v>
      </c>
      <c r="AW70" s="121">
        <v>4.96582892416225</v>
      </c>
      <c r="AX70" s="121">
        <v>4.9658289241622597</v>
      </c>
      <c r="AY70" s="121">
        <v>4.96582892416225</v>
      </c>
      <c r="AZ70" s="121">
        <v>4.96582892416225</v>
      </c>
      <c r="BA70" s="121">
        <v>4.8908730158730203</v>
      </c>
      <c r="BB70" s="121">
        <v>0</v>
      </c>
      <c r="BC70" s="121">
        <v>0</v>
      </c>
      <c r="BD70" s="121">
        <v>0</v>
      </c>
      <c r="BE70" s="121">
        <v>0</v>
      </c>
      <c r="BF70" s="153"/>
      <c r="BG70" s="246">
        <v>0.74955908289241602</v>
      </c>
      <c r="BH70" s="247">
        <v>0.79640652557319003</v>
      </c>
      <c r="BI70" s="247">
        <v>0.84325396825396992</v>
      </c>
      <c r="BJ70" s="247">
        <v>0.77766754850088005</v>
      </c>
      <c r="BK70" s="247">
        <v>0.66054894179893997</v>
      </c>
      <c r="BL70" s="247">
        <v>0.88073192239858999</v>
      </c>
      <c r="BM70" s="247">
        <v>1.058752204585536</v>
      </c>
      <c r="BN70" s="247">
        <v>5.3873239436619711</v>
      </c>
      <c r="BO70" s="247">
        <v>0.88073192239858999</v>
      </c>
      <c r="BP70" s="247">
        <v>1.058752204585536</v>
      </c>
      <c r="BQ70" s="247">
        <v>5.3873239436619711</v>
      </c>
      <c r="BR70" s="247">
        <v>5.9481591770437907</v>
      </c>
      <c r="BS70" s="247">
        <v>6.1687763713080788</v>
      </c>
      <c r="BT70" s="247">
        <v>5.4468269707485923</v>
      </c>
      <c r="BU70" s="169"/>
      <c r="BV70" s="172">
        <v>5</v>
      </c>
      <c r="BW70" s="210">
        <v>5</v>
      </c>
      <c r="BX70" s="210">
        <v>5</v>
      </c>
      <c r="BY70" s="210">
        <v>5</v>
      </c>
      <c r="BZ70" s="210">
        <v>5</v>
      </c>
      <c r="CA70" s="210">
        <v>5</v>
      </c>
      <c r="CB70" s="210">
        <v>5</v>
      </c>
      <c r="CC70" s="210">
        <v>5</v>
      </c>
      <c r="CD70" s="210">
        <v>5</v>
      </c>
      <c r="CE70" s="210">
        <v>5</v>
      </c>
      <c r="CF70" s="210">
        <v>5</v>
      </c>
      <c r="CG70" s="210">
        <v>5</v>
      </c>
      <c r="CH70" s="210">
        <v>5</v>
      </c>
      <c r="CI70" s="211">
        <v>5</v>
      </c>
      <c r="CJ70" s="249">
        <v>1.25220458553792</v>
      </c>
      <c r="CK70" s="250">
        <v>1.0179673721340501</v>
      </c>
      <c r="CL70" s="250">
        <v>0.78373015873015017</v>
      </c>
      <c r="CM70" s="250">
        <v>1.1116622574956001</v>
      </c>
      <c r="CN70" s="250">
        <v>1.6972552910053</v>
      </c>
      <c r="CO70" s="250">
        <v>0.59634038800705014</v>
      </c>
      <c r="CP70" s="250">
        <v>-0.29376102292768008</v>
      </c>
      <c r="CQ70" s="250">
        <v>-1.74603174603175</v>
      </c>
      <c r="CR70" s="250">
        <v>-1.0550319664903001</v>
      </c>
      <c r="CS70" s="250">
        <v>0.16534391534391979</v>
      </c>
      <c r="CT70" s="250">
        <v>-1.0550319664903001</v>
      </c>
      <c r="CU70" s="250">
        <v>-0.29376102292768008</v>
      </c>
      <c r="CV70" s="250">
        <v>-1.74603174603175</v>
      </c>
      <c r="CW70" s="250">
        <v>-1.0550319664903001</v>
      </c>
      <c r="CX70" s="249">
        <v>0.88077128999748422</v>
      </c>
      <c r="CY70" s="305">
        <v>1.6972552910053</v>
      </c>
      <c r="CZ70" s="127"/>
      <c r="DA70" s="187">
        <v>0.8238457420005032</v>
      </c>
      <c r="DB70" s="127" t="s">
        <v>298</v>
      </c>
    </row>
    <row r="71" spans="1:113" ht="16" thickBot="1" x14ac:dyDescent="0.4">
      <c r="B71" s="46" t="s">
        <v>178</v>
      </c>
      <c r="C71" s="345"/>
      <c r="D71" s="253" t="s">
        <v>299</v>
      </c>
      <c r="E71" s="291" t="s">
        <v>300</v>
      </c>
      <c r="F71" s="283"/>
      <c r="G71" s="241"/>
      <c r="H71" s="286"/>
      <c r="I71" s="286"/>
      <c r="J71" s="286"/>
      <c r="K71" s="287"/>
      <c r="M71" s="244">
        <v>4</v>
      </c>
      <c r="N71" s="212">
        <v>20</v>
      </c>
      <c r="O71" s="213">
        <v>40</v>
      </c>
      <c r="P71" s="213">
        <v>50</v>
      </c>
      <c r="Q71" s="213">
        <v>40</v>
      </c>
      <c r="R71" s="213">
        <v>40</v>
      </c>
      <c r="S71" s="213">
        <v>22</v>
      </c>
      <c r="T71" s="213">
        <v>21</v>
      </c>
      <c r="U71" s="213">
        <v>19</v>
      </c>
      <c r="V71" s="213">
        <v>19</v>
      </c>
      <c r="W71" s="213">
        <v>26</v>
      </c>
      <c r="X71" s="213">
        <v>20</v>
      </c>
      <c r="Y71" s="213">
        <v>20</v>
      </c>
      <c r="Z71" s="213">
        <v>228</v>
      </c>
      <c r="AA71" s="213">
        <v>311</v>
      </c>
      <c r="AB71" s="165"/>
      <c r="AC71" s="245">
        <v>0.97261126672891396</v>
      </c>
      <c r="AD71" s="245">
        <v>1.945222533457827</v>
      </c>
      <c r="AE71" s="245">
        <v>2.431528166822285</v>
      </c>
      <c r="AF71" s="245">
        <v>1.9452225334578279</v>
      </c>
      <c r="AG71" s="245">
        <v>1.945222533457827</v>
      </c>
      <c r="AH71" s="245">
        <v>1.0698723934018051</v>
      </c>
      <c r="AI71" s="245">
        <v>1.0212418300653601</v>
      </c>
      <c r="AJ71" s="245">
        <v>0.92398070339246752</v>
      </c>
      <c r="AK71" s="245">
        <v>0.92398070339246752</v>
      </c>
      <c r="AL71" s="245">
        <v>1.2643946467475879</v>
      </c>
      <c r="AM71" s="245">
        <v>0.92398070339246752</v>
      </c>
      <c r="AN71" s="245">
        <v>1.0212418300653601</v>
      </c>
      <c r="AO71" s="245">
        <v>0.92398070339246752</v>
      </c>
      <c r="AP71" s="245">
        <v>0.92398070339246752</v>
      </c>
      <c r="AQ71" s="165"/>
      <c r="AR71" s="121">
        <v>7.00420168067226</v>
      </c>
      <c r="AS71" s="121">
        <v>7.1582633053221247</v>
      </c>
      <c r="AT71" s="121">
        <v>5.8208839091192104</v>
      </c>
      <c r="AU71" s="121">
        <v>5.5656707127295277</v>
      </c>
      <c r="AV71" s="121">
        <v>5.5656707127295277</v>
      </c>
      <c r="AW71" s="121">
        <v>4.9214130096483046</v>
      </c>
      <c r="AX71" s="121">
        <v>4.8727824463118594</v>
      </c>
      <c r="AY71" s="121">
        <v>0.92398070339246752</v>
      </c>
      <c r="AZ71" s="121">
        <v>0.92398070339246752</v>
      </c>
      <c r="BA71" s="121">
        <v>1.2643946467475879</v>
      </c>
      <c r="BB71" s="121">
        <v>0.97261126672891252</v>
      </c>
      <c r="BC71" s="121">
        <v>0.97261126672891252</v>
      </c>
      <c r="BD71" s="121">
        <v>16.99502023031436</v>
      </c>
      <c r="BE71" s="121">
        <v>23.473778400248971</v>
      </c>
      <c r="BF71" s="153"/>
      <c r="BG71" s="246">
        <v>0.24315281668222849</v>
      </c>
      <c r="BH71" s="247">
        <v>0.48630563336445692</v>
      </c>
      <c r="BI71" s="247">
        <v>0.60788204170557125</v>
      </c>
      <c r="BJ71" s="247">
        <v>0.48630563336445698</v>
      </c>
      <c r="BK71" s="247">
        <v>0.48630563336445692</v>
      </c>
      <c r="BL71" s="247">
        <v>0.26746809835045132</v>
      </c>
      <c r="BM71" s="247">
        <v>0.25531045751634002</v>
      </c>
      <c r="BN71" s="247">
        <v>0.30520715534080378</v>
      </c>
      <c r="BO71" s="247">
        <v>0.26746809835045132</v>
      </c>
      <c r="BP71" s="247">
        <v>0.25531045751634002</v>
      </c>
      <c r="BQ71" s="247">
        <v>0.30520715534080378</v>
      </c>
      <c r="BR71" s="247">
        <v>0.44967434110875459</v>
      </c>
      <c r="BS71" s="247">
        <v>0.8061315606707018</v>
      </c>
      <c r="BT71" s="247">
        <v>0.4496743411087547</v>
      </c>
      <c r="BU71" s="169"/>
      <c r="BV71" s="172">
        <v>4</v>
      </c>
      <c r="BW71" s="210">
        <v>4</v>
      </c>
      <c r="BX71" s="210">
        <v>4</v>
      </c>
      <c r="BY71" s="210">
        <v>4</v>
      </c>
      <c r="BZ71" s="210">
        <v>4</v>
      </c>
      <c r="CA71" s="210">
        <v>4</v>
      </c>
      <c r="CB71" s="210">
        <v>4</v>
      </c>
      <c r="CC71" s="210">
        <v>4</v>
      </c>
      <c r="CD71" s="210">
        <v>4</v>
      </c>
      <c r="CE71" s="210">
        <v>4</v>
      </c>
      <c r="CF71" s="210">
        <v>4</v>
      </c>
      <c r="CG71" s="210">
        <v>4</v>
      </c>
      <c r="CH71" s="210">
        <v>4</v>
      </c>
      <c r="CI71" s="211">
        <v>4</v>
      </c>
      <c r="CJ71" s="249">
        <v>3.0273887332710858</v>
      </c>
      <c r="CK71" s="250">
        <v>2.054777466542173</v>
      </c>
      <c r="CL71" s="250">
        <v>1.568471833177715</v>
      </c>
      <c r="CM71" s="250">
        <v>2.0547774665421721</v>
      </c>
      <c r="CN71" s="250">
        <v>2.054777466542173</v>
      </c>
      <c r="CO71" s="250">
        <v>2.9301276065981949</v>
      </c>
      <c r="CP71" s="250">
        <v>2.9787581699346402</v>
      </c>
      <c r="CQ71" s="250">
        <v>3.0760192966075319</v>
      </c>
      <c r="CR71" s="250">
        <v>3.0760192966075319</v>
      </c>
      <c r="CS71" s="250">
        <v>2.7356053532524118</v>
      </c>
      <c r="CT71" s="250">
        <v>3.0760192966075319</v>
      </c>
      <c r="CU71" s="250">
        <v>2.9787581699346402</v>
      </c>
      <c r="CV71" s="250">
        <v>3.0760192966075319</v>
      </c>
      <c r="CW71" s="250">
        <v>3.0760192966075319</v>
      </c>
      <c r="CX71" s="249">
        <v>2.3812969632297358</v>
      </c>
      <c r="CY71" s="181"/>
      <c r="CZ71" s="90"/>
      <c r="DA71" s="188">
        <v>0.40467575919256588</v>
      </c>
      <c r="DB71" s="90" t="s">
        <v>301</v>
      </c>
    </row>
    <row r="72" spans="1:113" ht="16" thickBot="1" x14ac:dyDescent="0.35">
      <c r="B72" s="46"/>
      <c r="C72" s="351" t="s">
        <v>302</v>
      </c>
      <c r="D72" s="352"/>
      <c r="E72" s="353"/>
      <c r="F72" s="106"/>
      <c r="G72" s="106"/>
      <c r="H72" s="106"/>
      <c r="I72" s="106"/>
      <c r="J72" s="106"/>
      <c r="K72" s="45">
        <v>147</v>
      </c>
      <c r="M72" s="76">
        <v>132</v>
      </c>
      <c r="N72" s="66">
        <v>4315.0000000000009</v>
      </c>
      <c r="O72" s="21">
        <v>4866.5</v>
      </c>
      <c r="P72" s="21">
        <v>4594</v>
      </c>
      <c r="Q72" s="21">
        <v>5101.2</v>
      </c>
      <c r="R72" s="50">
        <v>5117.75</v>
      </c>
      <c r="S72" s="50">
        <v>4785</v>
      </c>
      <c r="T72" s="50">
        <v>4010.4</v>
      </c>
      <c r="U72" s="50">
        <v>3799.25</v>
      </c>
      <c r="V72" s="50">
        <v>3917.5</v>
      </c>
      <c r="W72" s="50">
        <v>3461</v>
      </c>
      <c r="X72" s="50">
        <v>2628.75</v>
      </c>
      <c r="Y72" s="50">
        <v>2777.75</v>
      </c>
      <c r="Z72" s="50">
        <v>2554.6</v>
      </c>
      <c r="AA72" s="50">
        <v>2356.5</v>
      </c>
      <c r="AB72" s="166"/>
      <c r="AC72" s="20">
        <v>50.133041551028242</v>
      </c>
      <c r="AD72" s="20">
        <v>59.676696613976553</v>
      </c>
      <c r="AE72" s="20">
        <v>55.457274449967869</v>
      </c>
      <c r="AF72" s="20">
        <v>56.035378544035296</v>
      </c>
      <c r="AG72" s="20">
        <v>55.481957503665669</v>
      </c>
      <c r="AH72" s="20">
        <v>48.816519779642817</v>
      </c>
      <c r="AI72" s="20">
        <v>42.005095322051773</v>
      </c>
      <c r="AJ72" s="20">
        <v>38.433394419786261</v>
      </c>
      <c r="AK72" s="20">
        <v>40.777847565234147</v>
      </c>
      <c r="AL72" s="20">
        <v>36.541004311028388</v>
      </c>
      <c r="AM72" s="20">
        <v>40.777847565234147</v>
      </c>
      <c r="AN72" s="20">
        <v>42.005095322051773</v>
      </c>
      <c r="AO72" s="20">
        <v>38.433394419786261</v>
      </c>
      <c r="AP72" s="20">
        <v>40.777847565234147</v>
      </c>
      <c r="AQ72" s="166"/>
      <c r="AR72" s="20">
        <v>50.068430051246089</v>
      </c>
      <c r="AS72" s="20">
        <v>58.864253035085092</v>
      </c>
      <c r="AT72" s="20">
        <v>56.186307894952662</v>
      </c>
      <c r="AU72" s="20">
        <v>54.971944349361188</v>
      </c>
      <c r="AV72" s="20">
        <v>55.127267933982893</v>
      </c>
      <c r="AW72" s="20">
        <v>48.661783548904147</v>
      </c>
      <c r="AX72" s="20">
        <v>43.525844358523102</v>
      </c>
      <c r="AY72" s="20">
        <v>37.067597027171281</v>
      </c>
      <c r="AZ72" s="20">
        <v>40.3228817763801</v>
      </c>
      <c r="BA72" s="20">
        <v>36.350343229700322</v>
      </c>
      <c r="BB72" s="158">
        <v>26.456364866871219</v>
      </c>
      <c r="BC72" s="20">
        <v>26.43149032826193</v>
      </c>
      <c r="BD72" s="20">
        <v>23.00458825774524</v>
      </c>
      <c r="BE72" s="20">
        <v>20.67036343685627</v>
      </c>
      <c r="BF72" s="168"/>
      <c r="BG72" s="20">
        <v>10.743942028783421</v>
      </c>
      <c r="BH72" s="20">
        <v>10.74730670437294</v>
      </c>
      <c r="BI72" s="20">
        <v>11.580312603527601</v>
      </c>
      <c r="BJ72" s="20">
        <v>11.51654022921657</v>
      </c>
      <c r="BK72" s="20">
        <v>11.01634849395913</v>
      </c>
      <c r="BL72" s="20">
        <v>9.2155942432447873</v>
      </c>
      <c r="BM72" s="20">
        <v>8.4288886983793141</v>
      </c>
      <c r="BN72" s="20">
        <v>22.243708838037499</v>
      </c>
      <c r="BO72" s="20">
        <v>9.2155942432447873</v>
      </c>
      <c r="BP72" s="20">
        <v>8.4288886983793141</v>
      </c>
      <c r="BQ72" s="20">
        <v>22.243708838037499</v>
      </c>
      <c r="BR72" s="20">
        <v>-88.237702030146153</v>
      </c>
      <c r="BS72" s="20">
        <v>5.4204167246518944</v>
      </c>
      <c r="BT72" s="20">
        <v>-12.68715562379764</v>
      </c>
      <c r="BU72" s="168"/>
      <c r="BV72" s="38">
        <v>141</v>
      </c>
      <c r="BW72" s="39">
        <v>141</v>
      </c>
      <c r="BX72" s="39">
        <v>141</v>
      </c>
      <c r="BY72" s="39">
        <v>142</v>
      </c>
      <c r="BZ72" s="39">
        <v>142</v>
      </c>
      <c r="CA72" s="39">
        <v>142</v>
      </c>
      <c r="CB72" s="39">
        <v>142</v>
      </c>
      <c r="CC72" s="39">
        <v>142</v>
      </c>
      <c r="CD72" s="39">
        <v>142</v>
      </c>
      <c r="CE72" s="39">
        <v>142</v>
      </c>
      <c r="CF72" s="39">
        <v>142</v>
      </c>
      <c r="CG72" s="39">
        <v>142</v>
      </c>
      <c r="CH72" s="39">
        <v>142</v>
      </c>
      <c r="CI72" s="40">
        <v>142</v>
      </c>
      <c r="CJ72" s="199">
        <v>86.146551767780778</v>
      </c>
      <c r="CK72" s="200">
        <v>75.396048224699669</v>
      </c>
      <c r="CL72" s="200">
        <v>78.894927541939992</v>
      </c>
      <c r="CM72" s="200">
        <v>80.131061180002476</v>
      </c>
      <c r="CN72" s="200">
        <v>81.270075253881814</v>
      </c>
      <c r="CO72" s="200">
        <v>87.709948214962409</v>
      </c>
      <c r="CP72" s="201">
        <v>93.679901824955181</v>
      </c>
      <c r="CQ72" s="201">
        <v>95.896593130789498</v>
      </c>
      <c r="CR72" s="201">
        <v>94.243139764883082</v>
      </c>
      <c r="CS72" s="201">
        <v>99.359944957567947</v>
      </c>
      <c r="CT72" s="201">
        <v>94.243139764883082</v>
      </c>
      <c r="CU72" s="201">
        <v>93.679901824955181</v>
      </c>
      <c r="CV72" s="201">
        <v>95.896593130789498</v>
      </c>
      <c r="CW72" s="201">
        <v>94.243139764883082</v>
      </c>
      <c r="CX72" s="135">
        <v>83.31835914403176</v>
      </c>
      <c r="CY72" s="44">
        <v>93.679901824955181</v>
      </c>
      <c r="CZ72" s="150"/>
      <c r="DA72" s="58"/>
      <c r="DB72" s="150"/>
      <c r="DC72" s="91"/>
    </row>
    <row r="73" spans="1:113" ht="16" thickBot="1" x14ac:dyDescent="0.35">
      <c r="C73" s="351" t="s">
        <v>176</v>
      </c>
      <c r="D73" s="352"/>
      <c r="E73" s="353"/>
      <c r="F73" s="122"/>
      <c r="G73" s="106"/>
      <c r="H73" s="61"/>
      <c r="I73" s="61"/>
      <c r="J73" s="61"/>
      <c r="K73" s="78"/>
      <c r="L73" s="123"/>
      <c r="M73" s="79"/>
      <c r="N73" s="15"/>
      <c r="O73" s="16"/>
      <c r="P73" s="16"/>
      <c r="Q73" s="16"/>
      <c r="R73" s="49"/>
      <c r="S73" s="49"/>
      <c r="T73" s="49"/>
      <c r="U73" s="49"/>
      <c r="V73" s="49"/>
      <c r="W73" s="49"/>
      <c r="X73" s="17"/>
      <c r="Y73" s="17"/>
      <c r="Z73" s="17"/>
      <c r="AA73" s="17"/>
      <c r="AB73" s="164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64"/>
      <c r="AR73" s="18"/>
      <c r="AS73" s="18"/>
      <c r="AT73" s="18"/>
      <c r="AU73" s="18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167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167"/>
      <c r="BV73" s="154"/>
      <c r="BW73" s="155"/>
      <c r="BX73" s="155"/>
      <c r="BY73" s="155"/>
      <c r="BZ73" s="155"/>
      <c r="CA73" s="155"/>
      <c r="CB73" s="156"/>
      <c r="CC73" s="156"/>
      <c r="CD73" s="156"/>
      <c r="CE73" s="156"/>
      <c r="CF73" s="156"/>
      <c r="CG73" s="156"/>
      <c r="CH73" s="156"/>
      <c r="CI73" s="206"/>
      <c r="CJ73" s="124">
        <v>0.38903154774623561</v>
      </c>
      <c r="CK73" s="125">
        <v>0.46527625372553427</v>
      </c>
      <c r="CL73" s="125">
        <v>0.44046150679475182</v>
      </c>
      <c r="CM73" s="125">
        <v>0.43569675225350368</v>
      </c>
      <c r="CN73" s="125">
        <v>0.427675526381114</v>
      </c>
      <c r="CO73" s="125">
        <v>0.38232430834533521</v>
      </c>
      <c r="CP73" s="125">
        <v>0.34028238151440021</v>
      </c>
      <c r="CQ73" s="125">
        <v>0.32467187936063729</v>
      </c>
      <c r="CR73" s="125">
        <v>0.33631591714871067</v>
      </c>
      <c r="CS73" s="125">
        <v>0.30028207776360599</v>
      </c>
      <c r="CT73" s="125">
        <v>0.33631591714871067</v>
      </c>
      <c r="CU73" s="125">
        <v>0.34028238151440021</v>
      </c>
      <c r="CV73" s="125">
        <v>0.32467187936063729</v>
      </c>
      <c r="CW73" s="125">
        <v>0.33631591714871067</v>
      </c>
      <c r="CX73" s="144">
        <v>0.4115354681086964</v>
      </c>
      <c r="CY73" s="145">
        <v>0.46527625372553427</v>
      </c>
      <c r="CZ73" s="150"/>
      <c r="DA73" s="128">
        <v>0.4115354681086964</v>
      </c>
      <c r="DB73" s="150"/>
    </row>
    <row r="74" spans="1:113" ht="16" thickBot="1" x14ac:dyDescent="0.35">
      <c r="C74" s="355" t="s">
        <v>303</v>
      </c>
      <c r="D74" s="352"/>
      <c r="E74" s="353"/>
      <c r="F74" s="129"/>
      <c r="G74" s="24"/>
      <c r="H74" s="24"/>
      <c r="I74" s="24"/>
      <c r="J74" s="24"/>
      <c r="K74" s="24"/>
      <c r="N74" s="25"/>
      <c r="O74" s="25"/>
      <c r="P74" s="25"/>
      <c r="Q74" s="25"/>
      <c r="R74" s="25"/>
      <c r="S74" s="25"/>
      <c r="T74" s="25"/>
      <c r="U74" s="25"/>
      <c r="V74" s="25"/>
      <c r="W74" s="27"/>
      <c r="X74" s="27"/>
      <c r="Y74" s="27"/>
      <c r="Z74" s="27"/>
      <c r="AA74" s="27"/>
      <c r="AB74" s="27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7"/>
      <c r="AS74" s="74"/>
      <c r="AT74" s="74"/>
      <c r="AU74" s="74"/>
      <c r="AV74" s="74"/>
      <c r="AW74" s="74"/>
      <c r="AX74" s="74"/>
      <c r="AY74" s="74"/>
      <c r="AZ74" s="74"/>
      <c r="BA74" s="75"/>
      <c r="BB74" s="75"/>
      <c r="BC74" s="74"/>
      <c r="BD74" s="74"/>
      <c r="BE74" s="75"/>
      <c r="BF74" s="75"/>
      <c r="BV74" s="84">
        <v>243</v>
      </c>
      <c r="BW74" s="85">
        <v>243</v>
      </c>
      <c r="BX74" s="85">
        <v>244</v>
      </c>
      <c r="BY74" s="85">
        <v>245</v>
      </c>
      <c r="BZ74" s="86">
        <v>245</v>
      </c>
      <c r="CA74" s="86">
        <v>243</v>
      </c>
      <c r="CB74" s="86">
        <v>243</v>
      </c>
      <c r="CC74" s="86">
        <v>243</v>
      </c>
      <c r="CD74" s="86">
        <v>243</v>
      </c>
      <c r="CE74" s="86">
        <v>243</v>
      </c>
      <c r="CF74" s="86">
        <v>243</v>
      </c>
      <c r="CG74" s="86">
        <v>243</v>
      </c>
      <c r="CH74" s="86">
        <v>243</v>
      </c>
      <c r="CI74" s="86">
        <v>243</v>
      </c>
      <c r="CJ74" s="95">
        <v>115.75323638155641</v>
      </c>
      <c r="CK74" s="87">
        <v>99.16786808766301</v>
      </c>
      <c r="CL74" s="87">
        <v>100.0742717953394</v>
      </c>
      <c r="CM74" s="87">
        <v>103.9724253807877</v>
      </c>
      <c r="CN74" s="88">
        <v>114.3815845450049</v>
      </c>
      <c r="CO74" s="88">
        <v>112.33801037888379</v>
      </c>
      <c r="CP74" s="88">
        <v>127.9413234620452</v>
      </c>
      <c r="CQ74" s="88">
        <v>146.7933154354599</v>
      </c>
      <c r="CR74" s="88">
        <v>149.30410026580799</v>
      </c>
      <c r="CS74" s="88">
        <v>154.48222245403659</v>
      </c>
      <c r="CT74" s="88">
        <v>147.06534513189141</v>
      </c>
      <c r="CU74" s="88">
        <v>139.95159863166569</v>
      </c>
      <c r="CV74" s="88">
        <v>139.5215896790973</v>
      </c>
      <c r="CW74" s="88">
        <v>150.59854631436369</v>
      </c>
      <c r="CX74" s="136">
        <v>110.51838857589721</v>
      </c>
      <c r="CY74" s="89">
        <v>127.9413234620452</v>
      </c>
      <c r="CZ74" s="131"/>
      <c r="DA74" s="189"/>
    </row>
    <row r="75" spans="1:113" x14ac:dyDescent="0.3">
      <c r="D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C75" s="2"/>
      <c r="BD75" s="2"/>
    </row>
    <row r="76" spans="1:113" x14ac:dyDescent="0.3">
      <c r="C76" s="2" t="s">
        <v>304</v>
      </c>
    </row>
    <row r="77" spans="1:113" x14ac:dyDescent="0.3">
      <c r="C77" s="73" t="s">
        <v>305</v>
      </c>
      <c r="D77" s="3" t="s">
        <v>306</v>
      </c>
    </row>
    <row r="137" spans="1:1" x14ac:dyDescent="0.3">
      <c r="A137" s="62" t="s">
        <v>172</v>
      </c>
    </row>
  </sheetData>
  <autoFilter ref="CZ34:DB74" xr:uid="{00000000-0009-0000-0000-000002000000}"/>
  <mergeCells count="19">
    <mergeCell ref="C74:E74"/>
    <mergeCell ref="DB9:DB10"/>
    <mergeCell ref="N9:AA9"/>
    <mergeCell ref="C73:E73"/>
    <mergeCell ref="DH60:DH61"/>
    <mergeCell ref="CJ9:CY9"/>
    <mergeCell ref="C72:E72"/>
    <mergeCell ref="BV9:CE9"/>
    <mergeCell ref="D2:G2"/>
    <mergeCell ref="C34:E34"/>
    <mergeCell ref="DE60:DE61"/>
    <mergeCell ref="C33:E33"/>
    <mergeCell ref="D3:G3"/>
    <mergeCell ref="DI60:DI61"/>
    <mergeCell ref="C35:C71"/>
    <mergeCell ref="C11:C32"/>
    <mergeCell ref="DA9:DA10"/>
    <mergeCell ref="DD60:DD61"/>
    <mergeCell ref="DF60:DF61"/>
  </mergeCells>
  <phoneticPr fontId="1" type="noConversion"/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W11:CE14 BW16:CE30 CA15:CE15 CA74:CC74">
    <cfRule type="cellIs" dxfId="15" priority="71" operator="notEqual">
      <formula>BV11</formula>
    </cfRule>
  </conditionalFormatting>
  <conditionalFormatting sqref="BW15:BZ15">
    <cfRule type="cellIs" dxfId="14" priority="62" operator="notEqual">
      <formula>BV15</formula>
    </cfRule>
  </conditionalFormatting>
  <conditionalFormatting sqref="BW74:BZ74">
    <cfRule type="cellIs" dxfId="13" priority="47" operator="notEqual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DA11:DA32">
    <cfRule type="cellIs" dxfId="12" priority="134" operator="lessThan">
      <formula>$DA$34</formula>
    </cfRule>
  </conditionalFormatting>
  <conditionalFormatting sqref="CF11:CG30 CF74:CI74">
    <cfRule type="cellIs" dxfId="11" priority="137" operator="notEqual">
      <formula>CB11</formula>
    </cfRule>
  </conditionalFormatting>
  <conditionalFormatting sqref="CH11:CH30">
    <cfRule type="cellIs" dxfId="10" priority="2" operator="notEqual">
      <formula>CG11</formula>
    </cfRule>
  </conditionalFormatting>
  <conditionalFormatting sqref="CD74">
    <cfRule type="cellIs" dxfId="9" priority="139" operator="notEqual">
      <formula>CC74</formula>
    </cfRule>
  </conditionalFormatting>
  <conditionalFormatting sqref="CE74">
    <cfRule type="cellIs" dxfId="8" priority="144" operator="notEqual">
      <formula>#REF!</formula>
    </cfRule>
  </conditionalFormatting>
  <conditionalFormatting sqref="DA35:DA71">
    <cfRule type="cellIs" dxfId="7" priority="145" operator="lessThan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dataValidations disablePrompts="1" count="2">
    <dataValidation type="custom" showInputMessage="1" error="8f06e6b2bed74c89a34538cc0879b9ff" sqref="D6" xr:uid="{00000000-0002-0000-0200-000000000000}">
      <formula1>TRUE</formula1>
    </dataValidation>
    <dataValidation type="custom" showInputMessage="1" error="b2b8de6135c44e7d8b55f704586a7a76" sqref="D7" xr:uid="{00000000-0002-0000-0200-000001000000}">
      <formula1>TRUE</formula1>
    </dataValidation>
  </dataValidations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theme="5" tint="0.39997558519241921"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G28" sqref="G28"/>
    </sheetView>
  </sheetViews>
  <sheetFormatPr defaultRowHeight="15.5" x14ac:dyDescent="0.3"/>
  <cols>
    <col min="1" max="1" width="9.59765625" style="2" bestFit="1" customWidth="1"/>
    <col min="2" max="2" width="27.59765625" style="3" bestFit="1" customWidth="1"/>
    <col min="3" max="3" width="22" style="3" hidden="1" customWidth="1"/>
    <col min="4" max="4" width="22.296875" style="2" bestFit="1" customWidth="1"/>
    <col min="5" max="5" width="11.59765625" style="2" bestFit="1" customWidth="1"/>
    <col min="6" max="6" width="11.09765625" style="46" bestFit="1" customWidth="1"/>
    <col min="7" max="10" width="7.3984375" style="46" bestFit="1" customWidth="1"/>
    <col min="11" max="11" width="7.69921875" style="46" bestFit="1" customWidth="1"/>
    <col min="12" max="12" width="7.3984375" style="46" bestFit="1" customWidth="1"/>
    <col min="13" max="13" width="11" style="46" bestFit="1" customWidth="1"/>
    <col min="14" max="14" width="11.09765625" style="46" bestFit="1" customWidth="1"/>
    <col min="15" max="18" width="7.09765625" style="46" bestFit="1" customWidth="1"/>
    <col min="19" max="19" width="7.8984375" style="46" bestFit="1" customWidth="1"/>
    <col min="20" max="20" width="7.09765625" style="46" bestFit="1" customWidth="1"/>
    <col min="21" max="21" width="11" style="46" bestFit="1" customWidth="1"/>
    <col min="22" max="22" width="68.8984375" style="62" bestFit="1" customWidth="1"/>
    <col min="23" max="26" width="7.09765625" style="46" bestFit="1" customWidth="1"/>
    <col min="27" max="27" width="7.8984375" style="46" bestFit="1" customWidth="1"/>
    <col min="28" max="28" width="7.09765625" style="2" bestFit="1" customWidth="1"/>
    <col min="29" max="29" width="11" style="2" bestFit="1" customWidth="1"/>
    <col min="30" max="30" width="93.09765625" style="2" bestFit="1" customWidth="1"/>
    <col min="31" max="32" width="9.69921875" style="2" bestFit="1" customWidth="1"/>
    <col min="33" max="36" width="11" style="2" bestFit="1" customWidth="1"/>
    <col min="37" max="57" width="8.8984375" style="2" customWidth="1"/>
    <col min="58" max="74" width="3.3984375" style="2" bestFit="1" customWidth="1"/>
    <col min="75" max="75" width="9.59765625" style="2" bestFit="1" customWidth="1"/>
    <col min="76" max="76" width="6.3984375" style="2" bestFit="1" customWidth="1"/>
    <col min="77" max="79" width="3.3984375" style="2" bestFit="1" customWidth="1"/>
    <col min="80" max="87" width="8.8984375" style="2" customWidth="1"/>
    <col min="88" max="88" width="62.59765625" style="2" bestFit="1" customWidth="1"/>
    <col min="89" max="262" width="8.8984375" style="2" customWidth="1"/>
    <col min="263" max="263" width="25.8984375" style="2" customWidth="1"/>
    <col min="264" max="264" width="18.296875" style="2" customWidth="1"/>
    <col min="265" max="276" width="9.8984375" style="2" customWidth="1"/>
    <col min="277" max="277" width="8.8984375" style="2" customWidth="1"/>
    <col min="278" max="283" width="12" style="2" customWidth="1"/>
    <col min="284" max="518" width="8.8984375" style="2" customWidth="1"/>
    <col min="519" max="519" width="25.8984375" style="2" customWidth="1"/>
    <col min="520" max="520" width="18.296875" style="2" customWidth="1"/>
    <col min="521" max="532" width="9.8984375" style="2" customWidth="1"/>
    <col min="533" max="533" width="8.8984375" style="2" customWidth="1"/>
    <col min="534" max="539" width="12" style="2" customWidth="1"/>
    <col min="540" max="774" width="8.8984375" style="2" customWidth="1"/>
    <col min="775" max="775" width="25.8984375" style="2" customWidth="1"/>
    <col min="776" max="776" width="18.296875" style="2" customWidth="1"/>
    <col min="777" max="788" width="9.8984375" style="2" customWidth="1"/>
    <col min="789" max="789" width="8.8984375" style="2" customWidth="1"/>
    <col min="790" max="795" width="12" style="2" customWidth="1"/>
    <col min="796" max="1030" width="8.8984375" style="2" customWidth="1"/>
    <col min="1031" max="1031" width="25.8984375" style="2" customWidth="1"/>
    <col min="1032" max="1032" width="18.296875" style="2" customWidth="1"/>
    <col min="1033" max="1044" width="9.8984375" style="2" customWidth="1"/>
    <col min="1045" max="1045" width="8.8984375" style="2" customWidth="1"/>
    <col min="1046" max="1051" width="12" style="2" customWidth="1"/>
    <col min="1052" max="1286" width="8.8984375" style="2" customWidth="1"/>
    <col min="1287" max="1287" width="25.8984375" style="2" customWidth="1"/>
    <col min="1288" max="1288" width="18.296875" style="2" customWidth="1"/>
    <col min="1289" max="1300" width="9.8984375" style="2" customWidth="1"/>
    <col min="1301" max="1301" width="8.8984375" style="2" customWidth="1"/>
    <col min="1302" max="1307" width="12" style="2" customWidth="1"/>
    <col min="1308" max="1542" width="8.8984375" style="2" customWidth="1"/>
    <col min="1543" max="1543" width="25.8984375" style="2" customWidth="1"/>
    <col min="1544" max="1544" width="18.296875" style="2" customWidth="1"/>
    <col min="1545" max="1556" width="9.8984375" style="2" customWidth="1"/>
    <col min="1557" max="1557" width="8.8984375" style="2" customWidth="1"/>
    <col min="1558" max="1563" width="12" style="2" customWidth="1"/>
    <col min="1564" max="1798" width="8.8984375" style="2" customWidth="1"/>
    <col min="1799" max="1799" width="25.8984375" style="2" customWidth="1"/>
    <col min="1800" max="1800" width="18.296875" style="2" customWidth="1"/>
    <col min="1801" max="1812" width="9.8984375" style="2" customWidth="1"/>
    <col min="1813" max="1813" width="8.8984375" style="2" customWidth="1"/>
    <col min="1814" max="1819" width="12" style="2" customWidth="1"/>
    <col min="1820" max="2054" width="8.8984375" style="2" customWidth="1"/>
    <col min="2055" max="2055" width="25.8984375" style="2" customWidth="1"/>
    <col min="2056" max="2056" width="18.296875" style="2" customWidth="1"/>
    <col min="2057" max="2068" width="9.8984375" style="2" customWidth="1"/>
    <col min="2069" max="2069" width="8.8984375" style="2" customWidth="1"/>
    <col min="2070" max="2075" width="12" style="2" customWidth="1"/>
    <col min="2076" max="2310" width="8.8984375" style="2" customWidth="1"/>
    <col min="2311" max="2311" width="25.8984375" style="2" customWidth="1"/>
    <col min="2312" max="2312" width="18.296875" style="2" customWidth="1"/>
    <col min="2313" max="2324" width="9.8984375" style="2" customWidth="1"/>
    <col min="2325" max="2325" width="8.8984375" style="2" customWidth="1"/>
    <col min="2326" max="2331" width="12" style="2" customWidth="1"/>
    <col min="2332" max="2566" width="8.8984375" style="2" customWidth="1"/>
    <col min="2567" max="2567" width="25.8984375" style="2" customWidth="1"/>
    <col min="2568" max="2568" width="18.296875" style="2" customWidth="1"/>
    <col min="2569" max="2580" width="9.8984375" style="2" customWidth="1"/>
    <col min="2581" max="2581" width="8.8984375" style="2" customWidth="1"/>
    <col min="2582" max="2587" width="12" style="2" customWidth="1"/>
    <col min="2588" max="2822" width="8.8984375" style="2" customWidth="1"/>
    <col min="2823" max="2823" width="25.8984375" style="2" customWidth="1"/>
    <col min="2824" max="2824" width="18.296875" style="2" customWidth="1"/>
    <col min="2825" max="2836" width="9.8984375" style="2" customWidth="1"/>
    <col min="2837" max="2837" width="8.8984375" style="2" customWidth="1"/>
    <col min="2838" max="2843" width="12" style="2" customWidth="1"/>
    <col min="2844" max="3078" width="8.8984375" style="2" customWidth="1"/>
    <col min="3079" max="3079" width="25.8984375" style="2" customWidth="1"/>
    <col min="3080" max="3080" width="18.296875" style="2" customWidth="1"/>
    <col min="3081" max="3092" width="9.8984375" style="2" customWidth="1"/>
    <col min="3093" max="3093" width="8.8984375" style="2" customWidth="1"/>
    <col min="3094" max="3099" width="12" style="2" customWidth="1"/>
    <col min="3100" max="3334" width="8.8984375" style="2" customWidth="1"/>
    <col min="3335" max="3335" width="25.8984375" style="2" customWidth="1"/>
    <col min="3336" max="3336" width="18.296875" style="2" customWidth="1"/>
    <col min="3337" max="3348" width="9.8984375" style="2" customWidth="1"/>
    <col min="3349" max="3349" width="8.8984375" style="2" customWidth="1"/>
    <col min="3350" max="3355" width="12" style="2" customWidth="1"/>
    <col min="3356" max="3590" width="8.8984375" style="2" customWidth="1"/>
    <col min="3591" max="3591" width="25.8984375" style="2" customWidth="1"/>
    <col min="3592" max="3592" width="18.296875" style="2" customWidth="1"/>
    <col min="3593" max="3604" width="9.8984375" style="2" customWidth="1"/>
    <col min="3605" max="3605" width="8.8984375" style="2" customWidth="1"/>
    <col min="3606" max="3611" width="12" style="2" customWidth="1"/>
    <col min="3612" max="3846" width="8.8984375" style="2" customWidth="1"/>
    <col min="3847" max="3847" width="25.8984375" style="2" customWidth="1"/>
    <col min="3848" max="3848" width="18.296875" style="2" customWidth="1"/>
    <col min="3849" max="3860" width="9.8984375" style="2" customWidth="1"/>
    <col min="3861" max="3861" width="8.8984375" style="2" customWidth="1"/>
    <col min="3862" max="3867" width="12" style="2" customWidth="1"/>
    <col min="3868" max="4102" width="8.8984375" style="2" customWidth="1"/>
    <col min="4103" max="4103" width="25.8984375" style="2" customWidth="1"/>
    <col min="4104" max="4104" width="18.296875" style="2" customWidth="1"/>
    <col min="4105" max="4116" width="9.8984375" style="2" customWidth="1"/>
    <col min="4117" max="4117" width="8.8984375" style="2" customWidth="1"/>
    <col min="4118" max="4123" width="12" style="2" customWidth="1"/>
    <col min="4124" max="4358" width="8.8984375" style="2" customWidth="1"/>
    <col min="4359" max="4359" width="25.8984375" style="2" customWidth="1"/>
    <col min="4360" max="4360" width="18.296875" style="2" customWidth="1"/>
    <col min="4361" max="4372" width="9.8984375" style="2" customWidth="1"/>
    <col min="4373" max="4373" width="8.8984375" style="2" customWidth="1"/>
    <col min="4374" max="4379" width="12" style="2" customWidth="1"/>
    <col min="4380" max="4614" width="8.8984375" style="2" customWidth="1"/>
    <col min="4615" max="4615" width="25.8984375" style="2" customWidth="1"/>
    <col min="4616" max="4616" width="18.296875" style="2" customWidth="1"/>
    <col min="4617" max="4628" width="9.8984375" style="2" customWidth="1"/>
    <col min="4629" max="4629" width="8.8984375" style="2" customWidth="1"/>
    <col min="4630" max="4635" width="12" style="2" customWidth="1"/>
    <col min="4636" max="4870" width="8.8984375" style="2" customWidth="1"/>
    <col min="4871" max="4871" width="25.8984375" style="2" customWidth="1"/>
    <col min="4872" max="4872" width="18.296875" style="2" customWidth="1"/>
    <col min="4873" max="4884" width="9.8984375" style="2" customWidth="1"/>
    <col min="4885" max="4885" width="8.8984375" style="2" customWidth="1"/>
    <col min="4886" max="4891" width="12" style="2" customWidth="1"/>
    <col min="4892" max="5126" width="8.8984375" style="2" customWidth="1"/>
    <col min="5127" max="5127" width="25.8984375" style="2" customWidth="1"/>
    <col min="5128" max="5128" width="18.296875" style="2" customWidth="1"/>
    <col min="5129" max="5140" width="9.8984375" style="2" customWidth="1"/>
    <col min="5141" max="5141" width="8.8984375" style="2" customWidth="1"/>
    <col min="5142" max="5147" width="12" style="2" customWidth="1"/>
    <col min="5148" max="5382" width="8.8984375" style="2" customWidth="1"/>
    <col min="5383" max="5383" width="25.8984375" style="2" customWidth="1"/>
    <col min="5384" max="5384" width="18.296875" style="2" customWidth="1"/>
    <col min="5385" max="5396" width="9.8984375" style="2" customWidth="1"/>
    <col min="5397" max="5397" width="8.8984375" style="2" customWidth="1"/>
    <col min="5398" max="5403" width="12" style="2" customWidth="1"/>
    <col min="5404" max="5638" width="8.8984375" style="2" customWidth="1"/>
    <col min="5639" max="5639" width="25.8984375" style="2" customWidth="1"/>
    <col min="5640" max="5640" width="18.296875" style="2" customWidth="1"/>
    <col min="5641" max="5652" width="9.8984375" style="2" customWidth="1"/>
    <col min="5653" max="5653" width="8.8984375" style="2" customWidth="1"/>
    <col min="5654" max="5659" width="12" style="2" customWidth="1"/>
    <col min="5660" max="5894" width="8.8984375" style="2" customWidth="1"/>
    <col min="5895" max="5895" width="25.8984375" style="2" customWidth="1"/>
    <col min="5896" max="5896" width="18.296875" style="2" customWidth="1"/>
    <col min="5897" max="5908" width="9.8984375" style="2" customWidth="1"/>
    <col min="5909" max="5909" width="8.8984375" style="2" customWidth="1"/>
    <col min="5910" max="5915" width="12" style="2" customWidth="1"/>
    <col min="5916" max="6150" width="8.8984375" style="2" customWidth="1"/>
    <col min="6151" max="6151" width="25.8984375" style="2" customWidth="1"/>
    <col min="6152" max="6152" width="18.296875" style="2" customWidth="1"/>
    <col min="6153" max="6164" width="9.8984375" style="2" customWidth="1"/>
    <col min="6165" max="6165" width="8.8984375" style="2" customWidth="1"/>
    <col min="6166" max="6171" width="12" style="2" customWidth="1"/>
    <col min="6172" max="6406" width="8.8984375" style="2" customWidth="1"/>
    <col min="6407" max="6407" width="25.8984375" style="2" customWidth="1"/>
    <col min="6408" max="6408" width="18.296875" style="2" customWidth="1"/>
    <col min="6409" max="6420" width="9.8984375" style="2" customWidth="1"/>
    <col min="6421" max="6421" width="8.8984375" style="2" customWidth="1"/>
    <col min="6422" max="6427" width="12" style="2" customWidth="1"/>
    <col min="6428" max="6662" width="8.8984375" style="2" customWidth="1"/>
    <col min="6663" max="6663" width="25.8984375" style="2" customWidth="1"/>
    <col min="6664" max="6664" width="18.296875" style="2" customWidth="1"/>
    <col min="6665" max="6676" width="9.8984375" style="2" customWidth="1"/>
    <col min="6677" max="6677" width="8.8984375" style="2" customWidth="1"/>
    <col min="6678" max="6683" width="12" style="2" customWidth="1"/>
    <col min="6684" max="6918" width="8.8984375" style="2" customWidth="1"/>
    <col min="6919" max="6919" width="25.8984375" style="2" customWidth="1"/>
    <col min="6920" max="6920" width="18.296875" style="2" customWidth="1"/>
    <col min="6921" max="6932" width="9.8984375" style="2" customWidth="1"/>
    <col min="6933" max="6933" width="8.8984375" style="2" customWidth="1"/>
    <col min="6934" max="6939" width="12" style="2" customWidth="1"/>
    <col min="6940" max="7174" width="8.8984375" style="2" customWidth="1"/>
    <col min="7175" max="7175" width="25.8984375" style="2" customWidth="1"/>
    <col min="7176" max="7176" width="18.296875" style="2" customWidth="1"/>
    <col min="7177" max="7188" width="9.8984375" style="2" customWidth="1"/>
    <col min="7189" max="7189" width="8.8984375" style="2" customWidth="1"/>
    <col min="7190" max="7195" width="12" style="2" customWidth="1"/>
    <col min="7196" max="7430" width="8.8984375" style="2" customWidth="1"/>
    <col min="7431" max="7431" width="25.8984375" style="2" customWidth="1"/>
    <col min="7432" max="7432" width="18.296875" style="2" customWidth="1"/>
    <col min="7433" max="7444" width="9.8984375" style="2" customWidth="1"/>
    <col min="7445" max="7445" width="8.8984375" style="2" customWidth="1"/>
    <col min="7446" max="7451" width="12" style="2" customWidth="1"/>
    <col min="7452" max="7686" width="8.8984375" style="2" customWidth="1"/>
    <col min="7687" max="7687" width="25.8984375" style="2" customWidth="1"/>
    <col min="7688" max="7688" width="18.296875" style="2" customWidth="1"/>
    <col min="7689" max="7700" width="9.8984375" style="2" customWidth="1"/>
    <col min="7701" max="7701" width="8.8984375" style="2" customWidth="1"/>
    <col min="7702" max="7707" width="12" style="2" customWidth="1"/>
    <col min="7708" max="7942" width="8.8984375" style="2" customWidth="1"/>
    <col min="7943" max="7943" width="25.8984375" style="2" customWidth="1"/>
    <col min="7944" max="7944" width="18.296875" style="2" customWidth="1"/>
    <col min="7945" max="7956" width="9.8984375" style="2" customWidth="1"/>
    <col min="7957" max="7957" width="8.8984375" style="2" customWidth="1"/>
    <col min="7958" max="7963" width="12" style="2" customWidth="1"/>
    <col min="7964" max="8198" width="8.8984375" style="2" customWidth="1"/>
    <col min="8199" max="8199" width="25.8984375" style="2" customWidth="1"/>
    <col min="8200" max="8200" width="18.296875" style="2" customWidth="1"/>
    <col min="8201" max="8212" width="9.8984375" style="2" customWidth="1"/>
    <col min="8213" max="8213" width="8.8984375" style="2" customWidth="1"/>
    <col min="8214" max="8219" width="12" style="2" customWidth="1"/>
    <col min="8220" max="8454" width="8.8984375" style="2" customWidth="1"/>
    <col min="8455" max="8455" width="25.8984375" style="2" customWidth="1"/>
    <col min="8456" max="8456" width="18.296875" style="2" customWidth="1"/>
    <col min="8457" max="8468" width="9.8984375" style="2" customWidth="1"/>
    <col min="8469" max="8469" width="8.8984375" style="2" customWidth="1"/>
    <col min="8470" max="8475" width="12" style="2" customWidth="1"/>
    <col min="8476" max="8710" width="8.8984375" style="2" customWidth="1"/>
    <col min="8711" max="8711" width="25.8984375" style="2" customWidth="1"/>
    <col min="8712" max="8712" width="18.296875" style="2" customWidth="1"/>
    <col min="8713" max="8724" width="9.8984375" style="2" customWidth="1"/>
    <col min="8725" max="8725" width="8.8984375" style="2" customWidth="1"/>
    <col min="8726" max="8731" width="12" style="2" customWidth="1"/>
    <col min="8732" max="8966" width="8.8984375" style="2" customWidth="1"/>
    <col min="8967" max="8967" width="25.8984375" style="2" customWidth="1"/>
    <col min="8968" max="8968" width="18.296875" style="2" customWidth="1"/>
    <col min="8969" max="8980" width="9.8984375" style="2" customWidth="1"/>
    <col min="8981" max="8981" width="8.8984375" style="2" customWidth="1"/>
    <col min="8982" max="8987" width="12" style="2" customWidth="1"/>
    <col min="8988" max="9222" width="8.8984375" style="2" customWidth="1"/>
    <col min="9223" max="9223" width="25.8984375" style="2" customWidth="1"/>
    <col min="9224" max="9224" width="18.296875" style="2" customWidth="1"/>
    <col min="9225" max="9236" width="9.8984375" style="2" customWidth="1"/>
    <col min="9237" max="9237" width="8.8984375" style="2" customWidth="1"/>
    <col min="9238" max="9243" width="12" style="2" customWidth="1"/>
    <col min="9244" max="9478" width="8.8984375" style="2" customWidth="1"/>
    <col min="9479" max="9479" width="25.8984375" style="2" customWidth="1"/>
    <col min="9480" max="9480" width="18.296875" style="2" customWidth="1"/>
    <col min="9481" max="9492" width="9.8984375" style="2" customWidth="1"/>
    <col min="9493" max="9493" width="8.8984375" style="2" customWidth="1"/>
    <col min="9494" max="9499" width="12" style="2" customWidth="1"/>
    <col min="9500" max="9734" width="8.8984375" style="2" customWidth="1"/>
    <col min="9735" max="9735" width="25.8984375" style="2" customWidth="1"/>
    <col min="9736" max="9736" width="18.296875" style="2" customWidth="1"/>
    <col min="9737" max="9748" width="9.8984375" style="2" customWidth="1"/>
    <col min="9749" max="9749" width="8.8984375" style="2" customWidth="1"/>
    <col min="9750" max="9755" width="12" style="2" customWidth="1"/>
    <col min="9756" max="9990" width="8.8984375" style="2" customWidth="1"/>
    <col min="9991" max="9991" width="25.8984375" style="2" customWidth="1"/>
    <col min="9992" max="9992" width="18.296875" style="2" customWidth="1"/>
    <col min="9993" max="10004" width="9.8984375" style="2" customWidth="1"/>
    <col min="10005" max="10005" width="8.8984375" style="2" customWidth="1"/>
    <col min="10006" max="10011" width="12" style="2" customWidth="1"/>
    <col min="10012" max="10246" width="8.8984375" style="2" customWidth="1"/>
    <col min="10247" max="10247" width="25.8984375" style="2" customWidth="1"/>
    <col min="10248" max="10248" width="18.296875" style="2" customWidth="1"/>
    <col min="10249" max="10260" width="9.8984375" style="2" customWidth="1"/>
    <col min="10261" max="10261" width="8.8984375" style="2" customWidth="1"/>
    <col min="10262" max="10267" width="12" style="2" customWidth="1"/>
    <col min="10268" max="10502" width="8.8984375" style="2" customWidth="1"/>
    <col min="10503" max="10503" width="25.8984375" style="2" customWidth="1"/>
    <col min="10504" max="10504" width="18.296875" style="2" customWidth="1"/>
    <col min="10505" max="10516" width="9.8984375" style="2" customWidth="1"/>
    <col min="10517" max="10517" width="8.8984375" style="2" customWidth="1"/>
    <col min="10518" max="10523" width="12" style="2" customWidth="1"/>
    <col min="10524" max="10758" width="8.8984375" style="2" customWidth="1"/>
    <col min="10759" max="10759" width="25.8984375" style="2" customWidth="1"/>
    <col min="10760" max="10760" width="18.296875" style="2" customWidth="1"/>
    <col min="10761" max="10772" width="9.8984375" style="2" customWidth="1"/>
    <col min="10773" max="10773" width="8.8984375" style="2" customWidth="1"/>
    <col min="10774" max="10779" width="12" style="2" customWidth="1"/>
    <col min="10780" max="11014" width="8.8984375" style="2" customWidth="1"/>
    <col min="11015" max="11015" width="25.8984375" style="2" customWidth="1"/>
    <col min="11016" max="11016" width="18.296875" style="2" customWidth="1"/>
    <col min="11017" max="11028" width="9.8984375" style="2" customWidth="1"/>
    <col min="11029" max="11029" width="8.8984375" style="2" customWidth="1"/>
    <col min="11030" max="11035" width="12" style="2" customWidth="1"/>
    <col min="11036" max="11270" width="8.8984375" style="2" customWidth="1"/>
    <col min="11271" max="11271" width="25.8984375" style="2" customWidth="1"/>
    <col min="11272" max="11272" width="18.296875" style="2" customWidth="1"/>
    <col min="11273" max="11284" width="9.8984375" style="2" customWidth="1"/>
    <col min="11285" max="11285" width="8.8984375" style="2" customWidth="1"/>
    <col min="11286" max="11291" width="12" style="2" customWidth="1"/>
    <col min="11292" max="11526" width="8.8984375" style="2" customWidth="1"/>
    <col min="11527" max="11527" width="25.8984375" style="2" customWidth="1"/>
    <col min="11528" max="11528" width="18.296875" style="2" customWidth="1"/>
    <col min="11529" max="11540" width="9.8984375" style="2" customWidth="1"/>
    <col min="11541" max="11541" width="8.8984375" style="2" customWidth="1"/>
    <col min="11542" max="11547" width="12" style="2" customWidth="1"/>
    <col min="11548" max="11782" width="8.8984375" style="2" customWidth="1"/>
    <col min="11783" max="11783" width="25.8984375" style="2" customWidth="1"/>
    <col min="11784" max="11784" width="18.296875" style="2" customWidth="1"/>
    <col min="11785" max="11796" width="9.8984375" style="2" customWidth="1"/>
    <col min="11797" max="11797" width="8.8984375" style="2" customWidth="1"/>
    <col min="11798" max="11803" width="12" style="2" customWidth="1"/>
    <col min="11804" max="12038" width="8.8984375" style="2" customWidth="1"/>
    <col min="12039" max="12039" width="25.8984375" style="2" customWidth="1"/>
    <col min="12040" max="12040" width="18.296875" style="2" customWidth="1"/>
    <col min="12041" max="12052" width="9.8984375" style="2" customWidth="1"/>
    <col min="12053" max="12053" width="8.8984375" style="2" customWidth="1"/>
    <col min="12054" max="12059" width="12" style="2" customWidth="1"/>
    <col min="12060" max="12294" width="8.8984375" style="2" customWidth="1"/>
    <col min="12295" max="12295" width="25.8984375" style="2" customWidth="1"/>
    <col min="12296" max="12296" width="18.296875" style="2" customWidth="1"/>
    <col min="12297" max="12308" width="9.8984375" style="2" customWidth="1"/>
    <col min="12309" max="12309" width="8.8984375" style="2" customWidth="1"/>
    <col min="12310" max="12315" width="12" style="2" customWidth="1"/>
    <col min="12316" max="12550" width="8.8984375" style="2" customWidth="1"/>
    <col min="12551" max="12551" width="25.8984375" style="2" customWidth="1"/>
    <col min="12552" max="12552" width="18.296875" style="2" customWidth="1"/>
    <col min="12553" max="12564" width="9.8984375" style="2" customWidth="1"/>
    <col min="12565" max="12565" width="8.8984375" style="2" customWidth="1"/>
    <col min="12566" max="12571" width="12" style="2" customWidth="1"/>
    <col min="12572" max="12806" width="8.8984375" style="2" customWidth="1"/>
    <col min="12807" max="12807" width="25.8984375" style="2" customWidth="1"/>
    <col min="12808" max="12808" width="18.296875" style="2" customWidth="1"/>
    <col min="12809" max="12820" width="9.8984375" style="2" customWidth="1"/>
    <col min="12821" max="12821" width="8.8984375" style="2" customWidth="1"/>
    <col min="12822" max="12827" width="12" style="2" customWidth="1"/>
    <col min="12828" max="13062" width="8.8984375" style="2" customWidth="1"/>
    <col min="13063" max="13063" width="25.8984375" style="2" customWidth="1"/>
    <col min="13064" max="13064" width="18.296875" style="2" customWidth="1"/>
    <col min="13065" max="13076" width="9.8984375" style="2" customWidth="1"/>
    <col min="13077" max="13077" width="8.8984375" style="2" customWidth="1"/>
    <col min="13078" max="13083" width="12" style="2" customWidth="1"/>
    <col min="13084" max="13318" width="8.8984375" style="2" customWidth="1"/>
    <col min="13319" max="13319" width="25.8984375" style="2" customWidth="1"/>
    <col min="13320" max="13320" width="18.296875" style="2" customWidth="1"/>
    <col min="13321" max="13332" width="9.8984375" style="2" customWidth="1"/>
    <col min="13333" max="13333" width="8.8984375" style="2" customWidth="1"/>
    <col min="13334" max="13339" width="12" style="2" customWidth="1"/>
    <col min="13340" max="13574" width="8.8984375" style="2" customWidth="1"/>
    <col min="13575" max="13575" width="25.8984375" style="2" customWidth="1"/>
    <col min="13576" max="13576" width="18.296875" style="2" customWidth="1"/>
    <col min="13577" max="13588" width="9.8984375" style="2" customWidth="1"/>
    <col min="13589" max="13589" width="8.8984375" style="2" customWidth="1"/>
    <col min="13590" max="13595" width="12" style="2" customWidth="1"/>
    <col min="13596" max="13830" width="8.8984375" style="2" customWidth="1"/>
    <col min="13831" max="13831" width="25.8984375" style="2" customWidth="1"/>
    <col min="13832" max="13832" width="18.296875" style="2" customWidth="1"/>
    <col min="13833" max="13844" width="9.8984375" style="2" customWidth="1"/>
    <col min="13845" max="13845" width="8.8984375" style="2" customWidth="1"/>
    <col min="13846" max="13851" width="12" style="2" customWidth="1"/>
    <col min="13852" max="14086" width="8.8984375" style="2" customWidth="1"/>
    <col min="14087" max="14087" width="25.8984375" style="2" customWidth="1"/>
    <col min="14088" max="14088" width="18.296875" style="2" customWidth="1"/>
    <col min="14089" max="14100" width="9.8984375" style="2" customWidth="1"/>
    <col min="14101" max="14101" width="8.8984375" style="2" customWidth="1"/>
    <col min="14102" max="14107" width="12" style="2" customWidth="1"/>
    <col min="14108" max="14342" width="8.8984375" style="2" customWidth="1"/>
    <col min="14343" max="14343" width="25.8984375" style="2" customWidth="1"/>
    <col min="14344" max="14344" width="18.296875" style="2" customWidth="1"/>
    <col min="14345" max="14356" width="9.8984375" style="2" customWidth="1"/>
    <col min="14357" max="14357" width="8.8984375" style="2" customWidth="1"/>
    <col min="14358" max="14363" width="12" style="2" customWidth="1"/>
    <col min="14364" max="14598" width="8.8984375" style="2" customWidth="1"/>
    <col min="14599" max="14599" width="25.8984375" style="2" customWidth="1"/>
    <col min="14600" max="14600" width="18.296875" style="2" customWidth="1"/>
    <col min="14601" max="14612" width="9.8984375" style="2" customWidth="1"/>
    <col min="14613" max="14613" width="8.8984375" style="2" customWidth="1"/>
    <col min="14614" max="14619" width="12" style="2" customWidth="1"/>
    <col min="14620" max="14854" width="8.8984375" style="2" customWidth="1"/>
    <col min="14855" max="14855" width="25.8984375" style="2" customWidth="1"/>
    <col min="14856" max="14856" width="18.296875" style="2" customWidth="1"/>
    <col min="14857" max="14868" width="9.8984375" style="2" customWidth="1"/>
    <col min="14869" max="14869" width="8.8984375" style="2" customWidth="1"/>
    <col min="14870" max="14875" width="12" style="2" customWidth="1"/>
    <col min="14876" max="15110" width="8.8984375" style="2" customWidth="1"/>
    <col min="15111" max="15111" width="25.8984375" style="2" customWidth="1"/>
    <col min="15112" max="15112" width="18.296875" style="2" customWidth="1"/>
    <col min="15113" max="15124" width="9.8984375" style="2" customWidth="1"/>
    <col min="15125" max="15125" width="8.8984375" style="2" customWidth="1"/>
    <col min="15126" max="15131" width="12" style="2" customWidth="1"/>
    <col min="15132" max="15366" width="8.8984375" style="2" customWidth="1"/>
    <col min="15367" max="15367" width="25.8984375" style="2" customWidth="1"/>
    <col min="15368" max="15368" width="18.296875" style="2" customWidth="1"/>
    <col min="15369" max="15380" width="9.8984375" style="2" customWidth="1"/>
    <col min="15381" max="15381" width="8.8984375" style="2" customWidth="1"/>
    <col min="15382" max="15387" width="12" style="2" customWidth="1"/>
    <col min="15388" max="15622" width="8.8984375" style="2" customWidth="1"/>
    <col min="15623" max="15623" width="25.8984375" style="2" customWidth="1"/>
    <col min="15624" max="15624" width="18.296875" style="2" customWidth="1"/>
    <col min="15625" max="15636" width="9.8984375" style="2" customWidth="1"/>
    <col min="15637" max="15637" width="8.8984375" style="2" customWidth="1"/>
    <col min="15638" max="15643" width="12" style="2" customWidth="1"/>
    <col min="15644" max="15878" width="8.8984375" style="2" customWidth="1"/>
    <col min="15879" max="15879" width="25.8984375" style="2" customWidth="1"/>
    <col min="15880" max="15880" width="18.296875" style="2" customWidth="1"/>
    <col min="15881" max="15892" width="9.8984375" style="2" customWidth="1"/>
    <col min="15893" max="15893" width="8.8984375" style="2" customWidth="1"/>
    <col min="15894" max="15899" width="12" style="2" customWidth="1"/>
    <col min="15900" max="16134" width="8.8984375" style="2" customWidth="1"/>
    <col min="16135" max="16135" width="25.8984375" style="2" customWidth="1"/>
    <col min="16136" max="16136" width="18.296875" style="2" customWidth="1"/>
    <col min="16137" max="16148" width="9.8984375" style="2" customWidth="1"/>
    <col min="16149" max="16149" width="8.8984375" style="2" customWidth="1"/>
    <col min="16150" max="16155" width="12" style="2" customWidth="1"/>
    <col min="16156" max="16384" width="8.8984375" style="2" customWidth="1"/>
  </cols>
  <sheetData>
    <row r="1" spans="1:88" ht="16" thickBot="1" x14ac:dyDescent="0.35">
      <c r="F1" s="48">
        <v>29</v>
      </c>
      <c r="G1" s="48">
        <v>30</v>
      </c>
      <c r="H1" s="48">
        <v>31</v>
      </c>
      <c r="I1" s="48">
        <v>32</v>
      </c>
      <c r="J1" s="48">
        <v>33</v>
      </c>
      <c r="K1" s="48">
        <v>34</v>
      </c>
      <c r="L1" s="48">
        <v>35</v>
      </c>
      <c r="M1" s="48">
        <v>36</v>
      </c>
      <c r="V1" s="48">
        <v>56</v>
      </c>
    </row>
    <row r="2" spans="1:88" ht="16" thickBot="1" x14ac:dyDescent="0.4">
      <c r="A2" s="4"/>
      <c r="B2" s="5"/>
      <c r="C2" s="5"/>
      <c r="D2" s="5"/>
      <c r="E2" s="5"/>
      <c r="F2" s="356" t="s">
        <v>307</v>
      </c>
      <c r="G2" s="352"/>
      <c r="H2" s="352"/>
      <c r="I2" s="352"/>
      <c r="J2" s="352"/>
      <c r="K2" s="352"/>
      <c r="L2" s="352"/>
      <c r="M2" s="352"/>
      <c r="N2" s="357" t="s">
        <v>20</v>
      </c>
      <c r="O2" s="358"/>
      <c r="P2" s="358"/>
      <c r="Q2" s="358"/>
      <c r="R2" s="358"/>
      <c r="S2" s="358"/>
      <c r="T2" s="358"/>
      <c r="U2" s="359"/>
      <c r="V2" s="348" t="s">
        <v>79</v>
      </c>
      <c r="W2" s="352"/>
      <c r="X2" s="352"/>
      <c r="Y2" s="352"/>
      <c r="Z2" s="352"/>
      <c r="AA2" s="352"/>
      <c r="AB2" s="352"/>
      <c r="AC2" s="353"/>
    </row>
    <row r="3" spans="1:88" ht="16" thickBot="1" x14ac:dyDescent="0.4">
      <c r="A3" s="229" t="s">
        <v>1</v>
      </c>
      <c r="B3" s="230" t="s">
        <v>2</v>
      </c>
      <c r="C3" s="6"/>
      <c r="D3" s="232" t="s">
        <v>3</v>
      </c>
      <c r="E3" s="7" t="s">
        <v>90</v>
      </c>
      <c r="F3" s="55" t="s">
        <v>62</v>
      </c>
      <c r="G3" s="8" t="s">
        <v>9</v>
      </c>
      <c r="H3" s="8" t="s">
        <v>10</v>
      </c>
      <c r="I3" s="8" t="s">
        <v>11</v>
      </c>
      <c r="J3" s="8" t="s">
        <v>12</v>
      </c>
      <c r="K3" s="8" t="s">
        <v>13</v>
      </c>
      <c r="L3" s="8" t="s">
        <v>96</v>
      </c>
      <c r="M3" s="178" t="s">
        <v>97</v>
      </c>
      <c r="N3" s="132" t="s">
        <v>62</v>
      </c>
      <c r="O3" s="234" t="s">
        <v>357</v>
      </c>
      <c r="P3" s="234" t="s">
        <v>10</v>
      </c>
      <c r="Q3" s="234" t="s">
        <v>11</v>
      </c>
      <c r="R3" s="235" t="s">
        <v>12</v>
      </c>
      <c r="S3" s="235" t="s">
        <v>13</v>
      </c>
      <c r="T3" s="53" t="s">
        <v>96</v>
      </c>
      <c r="U3" s="10" t="s">
        <v>97</v>
      </c>
      <c r="V3" s="160" t="s">
        <v>62</v>
      </c>
      <c r="W3" s="9" t="s">
        <v>9</v>
      </c>
      <c r="X3" s="9" t="s">
        <v>10</v>
      </c>
      <c r="Y3" s="9" t="s">
        <v>11</v>
      </c>
      <c r="Z3" s="53" t="s">
        <v>12</v>
      </c>
      <c r="AA3" s="53" t="s">
        <v>13</v>
      </c>
      <c r="AB3" s="53" t="s">
        <v>96</v>
      </c>
      <c r="AC3" s="10" t="s">
        <v>97</v>
      </c>
      <c r="AD3" s="10"/>
      <c r="BW3" s="137" t="s">
        <v>103</v>
      </c>
      <c r="BX3" s="138" t="s">
        <v>104</v>
      </c>
    </row>
    <row r="4" spans="1:88" x14ac:dyDescent="0.3">
      <c r="A4" s="11"/>
      <c r="B4" s="176" t="s">
        <v>308</v>
      </c>
      <c r="C4" s="306"/>
      <c r="D4" s="307" t="s">
        <v>309</v>
      </c>
      <c r="E4" s="308">
        <v>0.75</v>
      </c>
      <c r="F4" s="214">
        <v>0</v>
      </c>
      <c r="G4" s="215">
        <v>0</v>
      </c>
      <c r="H4" s="215">
        <v>0</v>
      </c>
      <c r="I4" s="215">
        <v>0</v>
      </c>
      <c r="J4" s="215">
        <v>0</v>
      </c>
      <c r="K4" s="215">
        <v>0</v>
      </c>
      <c r="L4" s="215">
        <v>0</v>
      </c>
      <c r="M4" s="161">
        <v>0</v>
      </c>
      <c r="N4" s="309">
        <v>0</v>
      </c>
      <c r="O4" s="310">
        <v>0</v>
      </c>
      <c r="P4" s="310">
        <v>0</v>
      </c>
      <c r="Q4" s="310">
        <v>0</v>
      </c>
      <c r="R4" s="310">
        <v>0</v>
      </c>
      <c r="S4" s="310">
        <v>0</v>
      </c>
      <c r="T4" s="310">
        <v>0</v>
      </c>
      <c r="U4" s="311">
        <v>0</v>
      </c>
      <c r="V4" s="312">
        <v>0</v>
      </c>
      <c r="W4" s="310">
        <v>0</v>
      </c>
      <c r="X4" s="310">
        <v>0</v>
      </c>
      <c r="Y4" s="310">
        <v>0</v>
      </c>
      <c r="Z4" s="310">
        <v>0</v>
      </c>
      <c r="AA4" s="310">
        <v>0</v>
      </c>
      <c r="AB4" s="310">
        <v>0</v>
      </c>
      <c r="AC4" s="311">
        <v>0</v>
      </c>
      <c r="AD4" s="311"/>
      <c r="BW4" s="139" t="e">
        <v>#DIV/0!</v>
      </c>
      <c r="BX4" s="140">
        <v>0</v>
      </c>
    </row>
    <row r="5" spans="1:88" x14ac:dyDescent="0.3">
      <c r="A5" s="11"/>
      <c r="B5" s="176" t="s">
        <v>107</v>
      </c>
      <c r="C5" s="306"/>
      <c r="D5" s="307" t="s">
        <v>310</v>
      </c>
      <c r="E5" s="308">
        <v>0.75</v>
      </c>
      <c r="F5" s="313">
        <v>0</v>
      </c>
      <c r="G5" s="314">
        <v>0</v>
      </c>
      <c r="H5" s="314">
        <v>0</v>
      </c>
      <c r="I5" s="314">
        <v>0</v>
      </c>
      <c r="J5" s="314">
        <v>0</v>
      </c>
      <c r="K5" s="314">
        <v>0</v>
      </c>
      <c r="L5" s="314">
        <v>0</v>
      </c>
      <c r="M5" s="315">
        <v>0</v>
      </c>
      <c r="N5" s="309">
        <v>0</v>
      </c>
      <c r="O5" s="310">
        <v>0</v>
      </c>
      <c r="P5" s="310">
        <v>0</v>
      </c>
      <c r="Q5" s="310">
        <v>0</v>
      </c>
      <c r="R5" s="310">
        <v>0</v>
      </c>
      <c r="S5" s="310">
        <v>0</v>
      </c>
      <c r="T5" s="310">
        <v>0</v>
      </c>
      <c r="U5" s="311">
        <v>0</v>
      </c>
      <c r="V5" s="312">
        <v>0</v>
      </c>
      <c r="W5" s="310">
        <v>0</v>
      </c>
      <c r="X5" s="310">
        <v>0</v>
      </c>
      <c r="Y5" s="310">
        <v>0</v>
      </c>
      <c r="Z5" s="310">
        <v>0</v>
      </c>
      <c r="AA5" s="310">
        <v>0</v>
      </c>
      <c r="AB5" s="310">
        <v>0</v>
      </c>
      <c r="AC5" s="311">
        <v>0</v>
      </c>
      <c r="AD5" s="311"/>
      <c r="BW5" s="139" t="e">
        <v>#DIV/0!</v>
      </c>
      <c r="BX5" s="140">
        <v>0</v>
      </c>
    </row>
    <row r="6" spans="1:88" x14ac:dyDescent="0.3">
      <c r="A6" s="11"/>
      <c r="B6" s="176" t="s">
        <v>64</v>
      </c>
      <c r="C6" s="306"/>
      <c r="D6" s="307" t="s">
        <v>65</v>
      </c>
      <c r="E6" s="308">
        <v>0.75</v>
      </c>
      <c r="F6" s="313">
        <v>8.4063999999999997</v>
      </c>
      <c r="G6" s="314">
        <v>4.1879999999999997</v>
      </c>
      <c r="H6" s="314">
        <v>11.45</v>
      </c>
      <c r="I6" s="314">
        <v>8.82</v>
      </c>
      <c r="J6" s="314">
        <v>17.64</v>
      </c>
      <c r="K6" s="314">
        <v>7.84</v>
      </c>
      <c r="L6" s="314">
        <v>0</v>
      </c>
      <c r="M6" s="315">
        <v>0</v>
      </c>
      <c r="N6" s="309">
        <v>1.137387153439154</v>
      </c>
      <c r="O6" s="310">
        <v>0.56658949735449748</v>
      </c>
      <c r="P6" s="310">
        <v>1.560049988977072</v>
      </c>
      <c r="Q6" s="310">
        <v>1.1932472222222219</v>
      </c>
      <c r="R6" s="310">
        <v>2.3864944444444451</v>
      </c>
      <c r="S6" s="310">
        <v>1.060664197530865</v>
      </c>
      <c r="T6" s="310">
        <v>0</v>
      </c>
      <c r="U6" s="311">
        <v>0</v>
      </c>
      <c r="V6" s="312">
        <v>1.137387153439154</v>
      </c>
      <c r="W6" s="310">
        <v>0.56658949735449748</v>
      </c>
      <c r="X6" s="310">
        <v>1.560049988977072</v>
      </c>
      <c r="Y6" s="310">
        <v>1.47897716931217</v>
      </c>
      <c r="Z6" s="310">
        <v>2.0293320105820101</v>
      </c>
      <c r="AA6" s="310">
        <v>1.060664197530865</v>
      </c>
      <c r="AB6" s="310">
        <v>0</v>
      </c>
      <c r="AC6" s="311">
        <v>0</v>
      </c>
      <c r="AD6" s="311"/>
      <c r="BW6" s="139" t="e">
        <v>#DIV/0!</v>
      </c>
      <c r="BX6" s="140">
        <v>0</v>
      </c>
    </row>
    <row r="7" spans="1:88" x14ac:dyDescent="0.3">
      <c r="A7" s="11"/>
      <c r="B7" s="176" t="s">
        <v>128</v>
      </c>
      <c r="C7" s="306"/>
      <c r="D7" s="307" t="s">
        <v>311</v>
      </c>
      <c r="E7" s="308">
        <v>0.75</v>
      </c>
      <c r="F7" s="313">
        <v>0</v>
      </c>
      <c r="G7" s="314">
        <v>0</v>
      </c>
      <c r="H7" s="314">
        <v>0</v>
      </c>
      <c r="I7" s="314">
        <v>0</v>
      </c>
      <c r="J7" s="314">
        <v>0</v>
      </c>
      <c r="K7" s="314">
        <v>0</v>
      </c>
      <c r="L7" s="314">
        <v>0</v>
      </c>
      <c r="M7" s="315">
        <v>0</v>
      </c>
      <c r="N7" s="309">
        <v>0</v>
      </c>
      <c r="O7" s="310">
        <v>0</v>
      </c>
      <c r="P7" s="310">
        <v>0</v>
      </c>
      <c r="Q7" s="310">
        <v>0</v>
      </c>
      <c r="R7" s="310">
        <v>0</v>
      </c>
      <c r="S7" s="310">
        <v>0</v>
      </c>
      <c r="T7" s="310">
        <v>0</v>
      </c>
      <c r="U7" s="311">
        <v>0</v>
      </c>
      <c r="V7" s="312">
        <v>0</v>
      </c>
      <c r="W7" s="310">
        <v>0</v>
      </c>
      <c r="X7" s="310">
        <v>0</v>
      </c>
      <c r="Y7" s="310">
        <v>0</v>
      </c>
      <c r="Z7" s="310">
        <v>0</v>
      </c>
      <c r="AA7" s="310">
        <v>0</v>
      </c>
      <c r="AB7" s="310">
        <v>0</v>
      </c>
      <c r="AC7" s="311">
        <v>0</v>
      </c>
      <c r="AD7" s="311"/>
      <c r="BW7" s="139" t="e">
        <v>#DIV/0!</v>
      </c>
      <c r="BX7" s="140">
        <v>0</v>
      </c>
    </row>
    <row r="8" spans="1:88" x14ac:dyDescent="0.3">
      <c r="A8" s="105" t="s">
        <v>63</v>
      </c>
      <c r="B8" s="176" t="s">
        <v>191</v>
      </c>
      <c r="C8" s="306"/>
      <c r="D8" s="307" t="s">
        <v>67</v>
      </c>
      <c r="E8" s="308">
        <v>0.75</v>
      </c>
      <c r="F8" s="313">
        <v>0</v>
      </c>
      <c r="G8" s="314">
        <v>0</v>
      </c>
      <c r="H8" s="314">
        <v>0</v>
      </c>
      <c r="I8" s="314">
        <v>0</v>
      </c>
      <c r="J8" s="314">
        <v>0</v>
      </c>
      <c r="K8" s="314">
        <v>0</v>
      </c>
      <c r="L8" s="314">
        <v>0</v>
      </c>
      <c r="M8" s="315">
        <v>0</v>
      </c>
      <c r="N8" s="309">
        <v>0</v>
      </c>
      <c r="O8" s="310">
        <v>0</v>
      </c>
      <c r="P8" s="310">
        <v>0</v>
      </c>
      <c r="Q8" s="310">
        <v>0</v>
      </c>
      <c r="R8" s="310">
        <v>0</v>
      </c>
      <c r="S8" s="310">
        <v>0</v>
      </c>
      <c r="T8" s="310">
        <v>0</v>
      </c>
      <c r="U8" s="311">
        <v>0</v>
      </c>
      <c r="V8" s="312">
        <v>0</v>
      </c>
      <c r="W8" s="310">
        <v>0</v>
      </c>
      <c r="X8" s="310">
        <v>0</v>
      </c>
      <c r="Y8" s="310">
        <v>0</v>
      </c>
      <c r="Z8" s="310">
        <v>0</v>
      </c>
      <c r="AA8" s="310">
        <v>0</v>
      </c>
      <c r="AB8" s="310">
        <v>0</v>
      </c>
      <c r="AC8" s="311">
        <v>0</v>
      </c>
      <c r="AD8" s="311"/>
      <c r="BW8" s="139" t="e">
        <v>#DIV/0!</v>
      </c>
      <c r="BX8" s="140">
        <v>0</v>
      </c>
    </row>
    <row r="9" spans="1:88" x14ac:dyDescent="0.3">
      <c r="A9" s="11"/>
      <c r="B9" s="176" t="s">
        <v>312</v>
      </c>
      <c r="C9" s="306"/>
      <c r="D9" s="307" t="s">
        <v>313</v>
      </c>
      <c r="E9" s="308">
        <v>0.75</v>
      </c>
      <c r="F9" s="313">
        <v>0</v>
      </c>
      <c r="G9" s="314">
        <v>0</v>
      </c>
      <c r="H9" s="314">
        <v>0</v>
      </c>
      <c r="I9" s="314">
        <v>0</v>
      </c>
      <c r="J9" s="314">
        <v>0</v>
      </c>
      <c r="K9" s="314">
        <v>0</v>
      </c>
      <c r="L9" s="314">
        <v>0</v>
      </c>
      <c r="M9" s="315">
        <v>0</v>
      </c>
      <c r="N9" s="309">
        <v>0</v>
      </c>
      <c r="O9" s="310">
        <v>0</v>
      </c>
      <c r="P9" s="310">
        <v>0</v>
      </c>
      <c r="Q9" s="310">
        <v>0</v>
      </c>
      <c r="R9" s="310">
        <v>0</v>
      </c>
      <c r="S9" s="310">
        <v>0</v>
      </c>
      <c r="T9" s="310">
        <v>0</v>
      </c>
      <c r="U9" s="311">
        <v>0</v>
      </c>
      <c r="V9" s="312">
        <v>0</v>
      </c>
      <c r="W9" s="310">
        <v>0</v>
      </c>
      <c r="X9" s="310">
        <v>0</v>
      </c>
      <c r="Y9" s="310">
        <v>0</v>
      </c>
      <c r="Z9" s="310">
        <v>0</v>
      </c>
      <c r="AA9" s="310">
        <v>0</v>
      </c>
      <c r="AB9" s="310">
        <v>0</v>
      </c>
      <c r="AC9" s="311">
        <v>0</v>
      </c>
      <c r="AD9" s="311"/>
      <c r="BW9" s="139" t="e">
        <v>#DIV/0!</v>
      </c>
      <c r="BX9" s="140">
        <v>0</v>
      </c>
    </row>
    <row r="10" spans="1:88" x14ac:dyDescent="0.3">
      <c r="A10" s="11"/>
      <c r="B10" s="176" t="s">
        <v>314</v>
      </c>
      <c r="C10" s="306"/>
      <c r="D10" s="307" t="s">
        <v>67</v>
      </c>
      <c r="E10" s="308">
        <v>0.75</v>
      </c>
      <c r="F10" s="313">
        <v>0</v>
      </c>
      <c r="G10" s="314">
        <v>0</v>
      </c>
      <c r="H10" s="314">
        <v>0</v>
      </c>
      <c r="I10" s="314">
        <v>0</v>
      </c>
      <c r="J10" s="314">
        <v>0</v>
      </c>
      <c r="K10" s="314">
        <v>0</v>
      </c>
      <c r="L10" s="314">
        <v>0</v>
      </c>
      <c r="M10" s="315">
        <v>0</v>
      </c>
      <c r="N10" s="309">
        <v>0</v>
      </c>
      <c r="O10" s="310">
        <v>0</v>
      </c>
      <c r="P10" s="310">
        <v>0</v>
      </c>
      <c r="Q10" s="310">
        <v>0</v>
      </c>
      <c r="R10" s="310">
        <v>0</v>
      </c>
      <c r="S10" s="310">
        <v>0</v>
      </c>
      <c r="T10" s="310">
        <v>0</v>
      </c>
      <c r="U10" s="311">
        <v>0</v>
      </c>
      <c r="V10" s="312">
        <v>0</v>
      </c>
      <c r="W10" s="310">
        <v>0</v>
      </c>
      <c r="X10" s="310">
        <v>0</v>
      </c>
      <c r="Y10" s="310">
        <v>0</v>
      </c>
      <c r="Z10" s="310">
        <v>0</v>
      </c>
      <c r="AA10" s="310">
        <v>0</v>
      </c>
      <c r="AB10" s="310">
        <v>0</v>
      </c>
      <c r="AC10" s="311">
        <v>0</v>
      </c>
      <c r="AD10" s="311"/>
      <c r="BW10" s="139" t="e">
        <v>#DIV/0!</v>
      </c>
      <c r="BX10" s="140">
        <v>0</v>
      </c>
    </row>
    <row r="11" spans="1:88" x14ac:dyDescent="0.3">
      <c r="A11" s="11"/>
      <c r="B11" s="176" t="s">
        <v>315</v>
      </c>
      <c r="C11" s="306"/>
      <c r="D11" s="307" t="s">
        <v>316</v>
      </c>
      <c r="E11" s="308">
        <v>0.75</v>
      </c>
      <c r="F11" s="313">
        <v>0</v>
      </c>
      <c r="G11" s="314">
        <v>0</v>
      </c>
      <c r="H11" s="314">
        <v>0</v>
      </c>
      <c r="I11" s="314">
        <v>0</v>
      </c>
      <c r="J11" s="314">
        <v>0</v>
      </c>
      <c r="K11" s="314">
        <v>0</v>
      </c>
      <c r="L11" s="314">
        <v>0</v>
      </c>
      <c r="M11" s="315">
        <v>0</v>
      </c>
      <c r="N11" s="309">
        <v>0</v>
      </c>
      <c r="O11" s="310">
        <v>0</v>
      </c>
      <c r="P11" s="310">
        <v>0</v>
      </c>
      <c r="Q11" s="310">
        <v>0</v>
      </c>
      <c r="R11" s="310">
        <v>0</v>
      </c>
      <c r="S11" s="310">
        <v>0</v>
      </c>
      <c r="T11" s="310">
        <v>0</v>
      </c>
      <c r="U11" s="311">
        <v>0</v>
      </c>
      <c r="V11" s="312">
        <v>0</v>
      </c>
      <c r="W11" s="310">
        <v>0</v>
      </c>
      <c r="X11" s="310">
        <v>0</v>
      </c>
      <c r="Y11" s="310">
        <v>0</v>
      </c>
      <c r="Z11" s="310">
        <v>0</v>
      </c>
      <c r="AA11" s="310">
        <v>0</v>
      </c>
      <c r="AB11" s="310">
        <v>0</v>
      </c>
      <c r="AC11" s="311">
        <v>0</v>
      </c>
      <c r="AD11" s="311"/>
      <c r="BW11" s="139" t="e">
        <v>#DIV/0!</v>
      </c>
      <c r="BX11" s="140">
        <v>0</v>
      </c>
    </row>
    <row r="12" spans="1:88" x14ac:dyDescent="0.3">
      <c r="A12" s="11"/>
      <c r="B12" s="176" t="s">
        <v>66</v>
      </c>
      <c r="C12" s="306"/>
      <c r="D12" s="307" t="s">
        <v>67</v>
      </c>
      <c r="E12" s="308">
        <v>0.75</v>
      </c>
      <c r="F12" s="313">
        <v>3.1482000000000001</v>
      </c>
      <c r="G12" s="314">
        <v>20.75</v>
      </c>
      <c r="H12" s="314">
        <v>25.434999999999999</v>
      </c>
      <c r="I12" s="314">
        <v>21.193999999999999</v>
      </c>
      <c r="J12" s="314">
        <v>16.327000000000002</v>
      </c>
      <c r="K12" s="314">
        <v>10.398999999999999</v>
      </c>
      <c r="L12" s="314">
        <v>4.8280000000000003</v>
      </c>
      <c r="M12" s="315">
        <v>11.276</v>
      </c>
      <c r="N12" s="309">
        <v>0.85436184780261404</v>
      </c>
      <c r="O12" s="310">
        <v>0.79186931508192249</v>
      </c>
      <c r="P12" s="310">
        <v>1.019148104103798</v>
      </c>
      <c r="Q12" s="310">
        <v>0.92716806898197801</v>
      </c>
      <c r="R12" s="310">
        <v>1.089614944568053</v>
      </c>
      <c r="S12" s="310">
        <v>0.69856484788359752</v>
      </c>
      <c r="T12" s="310">
        <v>0.38411134550520198</v>
      </c>
      <c r="U12" s="311">
        <v>0.71793432170278249</v>
      </c>
      <c r="V12" s="312">
        <v>0.85436184780261404</v>
      </c>
      <c r="W12" s="310">
        <v>0.79186931508192249</v>
      </c>
      <c r="X12" s="310">
        <v>1.019148104103798</v>
      </c>
      <c r="Y12" s="310">
        <v>0.92716806898197801</v>
      </c>
      <c r="Z12" s="310">
        <v>1.089614944568053</v>
      </c>
      <c r="AA12" s="310">
        <v>0.69856484788359752</v>
      </c>
      <c r="AB12" s="310">
        <v>0.38411134550520198</v>
      </c>
      <c r="AC12" s="311">
        <v>0.71793432170278249</v>
      </c>
      <c r="AD12" s="311"/>
      <c r="BW12" s="139" t="e">
        <v>#DIV/0!</v>
      </c>
      <c r="BX12" s="140">
        <v>0</v>
      </c>
    </row>
    <row r="13" spans="1:88" x14ac:dyDescent="0.3">
      <c r="A13" s="11"/>
      <c r="B13" s="176" t="s">
        <v>317</v>
      </c>
      <c r="C13" s="306"/>
      <c r="D13" s="307"/>
      <c r="E13" s="308">
        <v>0.75</v>
      </c>
      <c r="F13" s="313">
        <v>0</v>
      </c>
      <c r="G13" s="314">
        <v>0</v>
      </c>
      <c r="H13" s="314">
        <v>0</v>
      </c>
      <c r="I13" s="314">
        <v>0</v>
      </c>
      <c r="J13" s="314">
        <v>0</v>
      </c>
      <c r="K13" s="314">
        <v>0</v>
      </c>
      <c r="L13" s="314">
        <v>0</v>
      </c>
      <c r="M13" s="315">
        <v>0</v>
      </c>
      <c r="N13" s="309">
        <v>0</v>
      </c>
      <c r="O13" s="310">
        <v>0</v>
      </c>
      <c r="P13" s="310">
        <v>0</v>
      </c>
      <c r="Q13" s="310">
        <v>0</v>
      </c>
      <c r="R13" s="310">
        <v>0</v>
      </c>
      <c r="S13" s="310">
        <v>0</v>
      </c>
      <c r="T13" s="310">
        <v>0</v>
      </c>
      <c r="U13" s="311">
        <v>0</v>
      </c>
      <c r="V13" s="312">
        <v>0</v>
      </c>
      <c r="W13" s="310">
        <v>0</v>
      </c>
      <c r="X13" s="310">
        <v>0</v>
      </c>
      <c r="Y13" s="310">
        <v>0</v>
      </c>
      <c r="Z13" s="310">
        <v>0</v>
      </c>
      <c r="AA13" s="310">
        <v>0</v>
      </c>
      <c r="AB13" s="310">
        <v>0</v>
      </c>
      <c r="AC13" s="311">
        <v>0</v>
      </c>
      <c r="AD13" s="311"/>
      <c r="BW13" s="139" t="e">
        <v>#DIV/0!</v>
      </c>
      <c r="BX13" s="140">
        <v>0</v>
      </c>
    </row>
    <row r="14" spans="1:88" x14ac:dyDescent="0.3">
      <c r="A14" s="11"/>
      <c r="B14" s="176" t="s">
        <v>318</v>
      </c>
      <c r="C14" s="306"/>
      <c r="D14" s="307" t="s">
        <v>135</v>
      </c>
      <c r="E14" s="308">
        <v>0.75</v>
      </c>
      <c r="F14" s="313">
        <v>34.14</v>
      </c>
      <c r="G14" s="314">
        <v>21.01125</v>
      </c>
      <c r="H14" s="314">
        <v>19.728249999999999</v>
      </c>
      <c r="I14" s="314">
        <v>16.039200000000001</v>
      </c>
      <c r="J14" s="314">
        <v>76.98</v>
      </c>
      <c r="K14" s="314">
        <v>80.508250000000004</v>
      </c>
      <c r="L14" s="314">
        <v>91.605999999999995</v>
      </c>
      <c r="M14" s="315">
        <v>0</v>
      </c>
      <c r="N14" s="309">
        <v>0.46526425381721398</v>
      </c>
      <c r="O14" s="310">
        <v>0.25728264279194502</v>
      </c>
      <c r="P14" s="310">
        <v>0.24458547867063499</v>
      </c>
      <c r="Q14" s="310">
        <v>0.20323843895768801</v>
      </c>
      <c r="R14" s="310">
        <v>0.98524687174074499</v>
      </c>
      <c r="S14" s="310">
        <v>1.00160114402786</v>
      </c>
      <c r="T14" s="310">
        <v>1.121868200403048</v>
      </c>
      <c r="U14" s="311">
        <v>0</v>
      </c>
      <c r="V14" s="312">
        <v>0.46526425381721398</v>
      </c>
      <c r="W14" s="310">
        <v>0.25728264279194502</v>
      </c>
      <c r="X14" s="310">
        <v>0.24458547867063499</v>
      </c>
      <c r="Y14" s="310">
        <v>0.20323843895768801</v>
      </c>
      <c r="Z14" s="310">
        <v>0.98524687174074499</v>
      </c>
      <c r="AA14" s="310">
        <v>1.00160114402786</v>
      </c>
      <c r="AB14" s="310">
        <v>1.121868200403048</v>
      </c>
      <c r="AC14" s="311">
        <v>0</v>
      </c>
      <c r="AD14" s="311"/>
      <c r="BW14" s="139" t="e">
        <v>#DIV/0!</v>
      </c>
      <c r="BX14" s="140">
        <v>0</v>
      </c>
    </row>
    <row r="15" spans="1:88" x14ac:dyDescent="0.3">
      <c r="A15" s="13"/>
      <c r="B15" s="176" t="s">
        <v>319</v>
      </c>
      <c r="C15" s="306"/>
      <c r="D15" s="307" t="s">
        <v>311</v>
      </c>
      <c r="E15" s="308">
        <v>0.75</v>
      </c>
      <c r="F15" s="313">
        <v>0</v>
      </c>
      <c r="G15" s="314">
        <v>0</v>
      </c>
      <c r="H15" s="314">
        <v>0</v>
      </c>
      <c r="I15" s="314">
        <v>0</v>
      </c>
      <c r="J15" s="314">
        <v>0</v>
      </c>
      <c r="K15" s="314">
        <v>0</v>
      </c>
      <c r="L15" s="314">
        <v>0</v>
      </c>
      <c r="M15" s="315">
        <v>0</v>
      </c>
      <c r="N15" s="309">
        <v>0</v>
      </c>
      <c r="O15" s="310">
        <v>0</v>
      </c>
      <c r="P15" s="310">
        <v>0</v>
      </c>
      <c r="Q15" s="310">
        <v>0</v>
      </c>
      <c r="R15" s="310">
        <v>0</v>
      </c>
      <c r="S15" s="310">
        <v>0</v>
      </c>
      <c r="T15" s="310">
        <v>0</v>
      </c>
      <c r="U15" s="311">
        <v>0</v>
      </c>
      <c r="V15" s="312">
        <v>0</v>
      </c>
      <c r="W15" s="310">
        <v>0</v>
      </c>
      <c r="X15" s="310">
        <v>0</v>
      </c>
      <c r="Y15" s="310">
        <v>0</v>
      </c>
      <c r="Z15" s="310">
        <v>0</v>
      </c>
      <c r="AA15" s="310">
        <v>0</v>
      </c>
      <c r="AB15" s="310">
        <v>0</v>
      </c>
      <c r="AC15" s="311">
        <v>0</v>
      </c>
      <c r="AD15" s="311"/>
      <c r="BW15" s="139" t="e">
        <v>#DIV/0!</v>
      </c>
      <c r="BX15" s="140">
        <v>0</v>
      </c>
    </row>
    <row r="16" spans="1:88" x14ac:dyDescent="0.3">
      <c r="A16" s="13"/>
      <c r="B16" s="176" t="s">
        <v>320</v>
      </c>
      <c r="C16" s="306"/>
      <c r="D16" s="307" t="s">
        <v>321</v>
      </c>
      <c r="E16" s="308">
        <v>0.75</v>
      </c>
      <c r="F16" s="313">
        <v>0</v>
      </c>
      <c r="G16" s="314">
        <v>0</v>
      </c>
      <c r="H16" s="314">
        <v>0</v>
      </c>
      <c r="I16" s="314">
        <v>0</v>
      </c>
      <c r="J16" s="314">
        <v>0</v>
      </c>
      <c r="K16" s="314">
        <v>0</v>
      </c>
      <c r="L16" s="314">
        <v>0</v>
      </c>
      <c r="M16" s="315">
        <v>0</v>
      </c>
      <c r="N16" s="309">
        <v>0</v>
      </c>
      <c r="O16" s="310">
        <v>0</v>
      </c>
      <c r="P16" s="310">
        <v>0</v>
      </c>
      <c r="Q16" s="310">
        <v>0</v>
      </c>
      <c r="R16" s="310">
        <v>0</v>
      </c>
      <c r="S16" s="310">
        <v>0</v>
      </c>
      <c r="T16" s="310">
        <v>0</v>
      </c>
      <c r="U16" s="311">
        <v>0</v>
      </c>
      <c r="V16" s="312">
        <v>0</v>
      </c>
      <c r="W16" s="310">
        <v>0</v>
      </c>
      <c r="X16" s="310">
        <v>0</v>
      </c>
      <c r="Y16" s="310">
        <v>0</v>
      </c>
      <c r="Z16" s="310">
        <v>0</v>
      </c>
      <c r="AA16" s="310">
        <v>0</v>
      </c>
      <c r="AB16" s="310">
        <v>0</v>
      </c>
      <c r="AC16" s="311">
        <v>0</v>
      </c>
      <c r="AD16" s="311"/>
      <c r="BW16" s="139" t="e">
        <v>#DIV/0!</v>
      </c>
      <c r="BX16" s="140">
        <v>0</v>
      </c>
      <c r="CJ16" s="2" t="s">
        <v>322</v>
      </c>
    </row>
    <row r="17" spans="1:88" x14ac:dyDescent="0.3">
      <c r="A17" s="13"/>
      <c r="B17" s="176" t="s">
        <v>323</v>
      </c>
      <c r="C17" s="306"/>
      <c r="D17" s="307" t="s">
        <v>324</v>
      </c>
      <c r="E17" s="308">
        <v>0.75</v>
      </c>
      <c r="F17" s="313">
        <v>39.504600000000003</v>
      </c>
      <c r="G17" s="314">
        <v>31.110749999999999</v>
      </c>
      <c r="H17" s="314">
        <v>0</v>
      </c>
      <c r="I17" s="314">
        <v>0</v>
      </c>
      <c r="J17" s="314">
        <v>0</v>
      </c>
      <c r="K17" s="314">
        <v>9.0549999999999997</v>
      </c>
      <c r="L17" s="314">
        <v>2.7303999999999999</v>
      </c>
      <c r="M17" s="315">
        <v>0</v>
      </c>
      <c r="N17" s="309">
        <v>0.26372920502645503</v>
      </c>
      <c r="O17" s="310">
        <v>0.1285993303571428</v>
      </c>
      <c r="P17" s="310">
        <v>0</v>
      </c>
      <c r="Q17" s="310">
        <v>0</v>
      </c>
      <c r="R17" s="310">
        <v>0</v>
      </c>
      <c r="S17" s="310">
        <v>0.40759477513227499</v>
      </c>
      <c r="T17" s="310">
        <v>1.128637566137566E-2</v>
      </c>
      <c r="U17" s="311">
        <v>0</v>
      </c>
      <c r="V17" s="312">
        <v>0.26372920502645503</v>
      </c>
      <c r="W17" s="310">
        <v>0.1285993303571428</v>
      </c>
      <c r="X17" s="310">
        <v>0</v>
      </c>
      <c r="Y17" s="310">
        <v>0</v>
      </c>
      <c r="Z17" s="310">
        <v>0</v>
      </c>
      <c r="AA17" s="310">
        <v>0.40759477513227499</v>
      </c>
      <c r="AB17" s="310">
        <v>1.128637566137566E-2</v>
      </c>
      <c r="AC17" s="311">
        <v>0</v>
      </c>
      <c r="AD17" s="311"/>
      <c r="BW17" s="139" t="e">
        <v>#DIV/0!</v>
      </c>
      <c r="BX17" s="140">
        <v>0</v>
      </c>
    </row>
    <row r="18" spans="1:88" x14ac:dyDescent="0.3">
      <c r="A18" s="13"/>
      <c r="B18" s="176" t="s">
        <v>183</v>
      </c>
      <c r="C18" s="306"/>
      <c r="D18" s="307" t="s">
        <v>325</v>
      </c>
      <c r="E18" s="308">
        <v>0.75</v>
      </c>
      <c r="F18" s="313">
        <v>0</v>
      </c>
      <c r="G18" s="314">
        <v>0</v>
      </c>
      <c r="H18" s="314">
        <v>0</v>
      </c>
      <c r="I18" s="314">
        <v>0</v>
      </c>
      <c r="J18" s="314">
        <v>0</v>
      </c>
      <c r="K18" s="314">
        <v>0</v>
      </c>
      <c r="L18" s="314">
        <v>0</v>
      </c>
      <c r="M18" s="315">
        <v>0</v>
      </c>
      <c r="N18" s="309">
        <v>0</v>
      </c>
      <c r="O18" s="310">
        <v>0</v>
      </c>
      <c r="P18" s="310">
        <v>0</v>
      </c>
      <c r="Q18" s="310">
        <v>0</v>
      </c>
      <c r="R18" s="310">
        <v>0</v>
      </c>
      <c r="S18" s="310">
        <v>0</v>
      </c>
      <c r="T18" s="310">
        <v>0</v>
      </c>
      <c r="U18" s="311">
        <v>0</v>
      </c>
      <c r="V18" s="312">
        <v>0</v>
      </c>
      <c r="W18" s="310">
        <v>0</v>
      </c>
      <c r="X18" s="310">
        <v>0</v>
      </c>
      <c r="Y18" s="310">
        <v>0</v>
      </c>
      <c r="Z18" s="310">
        <v>0</v>
      </c>
      <c r="AA18" s="310">
        <v>0</v>
      </c>
      <c r="AB18" s="310">
        <v>0</v>
      </c>
      <c r="AC18" s="311">
        <v>0</v>
      </c>
      <c r="AD18" s="311"/>
      <c r="BW18" s="139" t="e">
        <v>#DIV/0!</v>
      </c>
      <c r="BX18" s="140">
        <v>0</v>
      </c>
      <c r="CJ18" s="2" t="s">
        <v>326</v>
      </c>
    </row>
    <row r="19" spans="1:88" x14ac:dyDescent="0.3">
      <c r="A19" s="13"/>
      <c r="B19" s="176" t="s">
        <v>68</v>
      </c>
      <c r="C19" s="306"/>
      <c r="D19" s="307" t="s">
        <v>65</v>
      </c>
      <c r="E19" s="308">
        <v>0.75</v>
      </c>
      <c r="F19" s="313">
        <v>496.45319999999998</v>
      </c>
      <c r="G19" s="314">
        <v>513.73225000000002</v>
      </c>
      <c r="H19" s="314">
        <v>392.73</v>
      </c>
      <c r="I19" s="314">
        <v>461.40820000000002</v>
      </c>
      <c r="J19" s="314">
        <v>418.8005</v>
      </c>
      <c r="K19" s="314">
        <v>753.14975000000004</v>
      </c>
      <c r="L19" s="314">
        <v>557.55359999999996</v>
      </c>
      <c r="M19" s="315">
        <v>432.56124999999997</v>
      </c>
      <c r="N19" s="309">
        <v>8.4800764778391997</v>
      </c>
      <c r="O19" s="310">
        <v>9.7929912725695498</v>
      </c>
      <c r="P19" s="310">
        <v>6.4083293650793749</v>
      </c>
      <c r="Q19" s="310">
        <v>7.9031445001996801</v>
      </c>
      <c r="R19" s="310">
        <v>7.3561907784024001</v>
      </c>
      <c r="S19" s="310">
        <v>12.7557384416733</v>
      </c>
      <c r="T19" s="310">
        <v>9.5950920591506197</v>
      </c>
      <c r="U19" s="311">
        <v>7.1632345421810752</v>
      </c>
      <c r="V19" s="312">
        <v>8.4800764778391997</v>
      </c>
      <c r="W19" s="310">
        <v>9.7929912725695498</v>
      </c>
      <c r="X19" s="310">
        <v>6.4083293650793749</v>
      </c>
      <c r="Y19" s="310">
        <v>7.9031445001996801</v>
      </c>
      <c r="Z19" s="310">
        <v>9.0617947789015254</v>
      </c>
      <c r="AA19" s="310">
        <v>11.050134441174171</v>
      </c>
      <c r="AB19" s="310">
        <v>9.5950920591506197</v>
      </c>
      <c r="AC19" s="311">
        <v>7.1632345421810752</v>
      </c>
      <c r="AD19" s="311"/>
      <c r="BW19" s="139" t="e">
        <v>#DIV/0!</v>
      </c>
      <c r="BX19" s="140">
        <v>0</v>
      </c>
    </row>
    <row r="20" spans="1:88" x14ac:dyDescent="0.3">
      <c r="A20" s="13"/>
      <c r="B20" s="176" t="s">
        <v>327</v>
      </c>
      <c r="C20" s="306"/>
      <c r="D20" s="307" t="s">
        <v>328</v>
      </c>
      <c r="E20" s="308">
        <v>0.75</v>
      </c>
      <c r="F20" s="313">
        <v>0</v>
      </c>
      <c r="G20" s="314">
        <v>0</v>
      </c>
      <c r="H20" s="314">
        <v>0</v>
      </c>
      <c r="I20" s="314">
        <v>0</v>
      </c>
      <c r="J20" s="314">
        <v>0</v>
      </c>
      <c r="K20" s="314">
        <v>0</v>
      </c>
      <c r="L20" s="314">
        <v>0</v>
      </c>
      <c r="M20" s="315">
        <v>0</v>
      </c>
      <c r="N20" s="309">
        <v>0</v>
      </c>
      <c r="O20" s="310">
        <v>0</v>
      </c>
      <c r="P20" s="310">
        <v>0</v>
      </c>
      <c r="Q20" s="310">
        <v>0</v>
      </c>
      <c r="R20" s="310">
        <v>0</v>
      </c>
      <c r="S20" s="310">
        <v>0</v>
      </c>
      <c r="T20" s="310">
        <v>0</v>
      </c>
      <c r="U20" s="311">
        <v>0</v>
      </c>
      <c r="V20" s="312">
        <v>0</v>
      </c>
      <c r="W20" s="310">
        <v>0</v>
      </c>
      <c r="X20" s="310">
        <v>0</v>
      </c>
      <c r="Y20" s="310">
        <v>0</v>
      </c>
      <c r="Z20" s="310">
        <v>0</v>
      </c>
      <c r="AA20" s="310">
        <v>0</v>
      </c>
      <c r="AB20" s="310">
        <v>0</v>
      </c>
      <c r="AC20" s="311">
        <v>0</v>
      </c>
      <c r="AD20" s="311"/>
      <c r="BW20" s="139" t="e">
        <v>#DIV/0!</v>
      </c>
      <c r="BX20" s="140">
        <v>0</v>
      </c>
    </row>
    <row r="21" spans="1:88" x14ac:dyDescent="0.3">
      <c r="A21" s="13"/>
      <c r="B21" s="176" t="s">
        <v>69</v>
      </c>
      <c r="C21" s="306"/>
      <c r="D21" s="307" t="s">
        <v>48</v>
      </c>
      <c r="E21" s="308">
        <v>0.75</v>
      </c>
      <c r="F21" s="313">
        <v>75.352399999999989</v>
      </c>
      <c r="G21" s="314">
        <v>84.605999999999995</v>
      </c>
      <c r="H21" s="314">
        <v>84.605999999999995</v>
      </c>
      <c r="I21" s="314">
        <v>95.117000000000004</v>
      </c>
      <c r="J21" s="314">
        <v>138.399</v>
      </c>
      <c r="K21" s="314">
        <v>133.53899999999999</v>
      </c>
      <c r="L21" s="314">
        <v>47.583599999999997</v>
      </c>
      <c r="M21" s="315">
        <v>44.8</v>
      </c>
      <c r="N21" s="309">
        <v>1.4986345855379199</v>
      </c>
      <c r="O21" s="310">
        <v>1.9301788470017649</v>
      </c>
      <c r="P21" s="310">
        <v>1.9301788470017649</v>
      </c>
      <c r="Q21" s="310">
        <v>1.90522576058201</v>
      </c>
      <c r="R21" s="310">
        <v>2.8619912477954248</v>
      </c>
      <c r="S21" s="310">
        <v>2.8263126763668498</v>
      </c>
      <c r="T21" s="310">
        <v>1.0877107848324521</v>
      </c>
      <c r="U21" s="311">
        <v>1.0612345679012349</v>
      </c>
      <c r="V21" s="312">
        <v>1.4986345855379199</v>
      </c>
      <c r="W21" s="310">
        <v>1.9301788470017649</v>
      </c>
      <c r="X21" s="310">
        <v>2.19998826058201</v>
      </c>
      <c r="Y21" s="310">
        <v>2.2000026124338601</v>
      </c>
      <c r="Z21" s="310">
        <v>2.2010884700176381</v>
      </c>
      <c r="AA21" s="310">
        <v>2.200942305996473</v>
      </c>
      <c r="AB21" s="310">
        <v>1.6061049206349201</v>
      </c>
      <c r="AC21" s="311">
        <v>1.0612345679012349</v>
      </c>
      <c r="AD21" s="311"/>
      <c r="BW21" s="139" t="e">
        <v>#DIV/0!</v>
      </c>
      <c r="BX21" s="140">
        <v>0</v>
      </c>
    </row>
    <row r="22" spans="1:88" x14ac:dyDescent="0.3">
      <c r="A22" s="13"/>
      <c r="B22" s="176" t="s">
        <v>329</v>
      </c>
      <c r="C22" s="306"/>
      <c r="D22" s="307" t="s">
        <v>321</v>
      </c>
      <c r="E22" s="308">
        <v>0.75</v>
      </c>
      <c r="F22" s="313">
        <v>9.3330000000000002</v>
      </c>
      <c r="G22" s="314">
        <v>19.645</v>
      </c>
      <c r="H22" s="314">
        <v>20.321999999999999</v>
      </c>
      <c r="I22" s="314">
        <v>21</v>
      </c>
      <c r="J22" s="314">
        <v>24.838000000000001</v>
      </c>
      <c r="K22" s="314">
        <v>25.666</v>
      </c>
      <c r="L22" s="314">
        <v>24.838000000000001</v>
      </c>
      <c r="M22" s="315">
        <v>20.321999999999999</v>
      </c>
      <c r="N22" s="309">
        <v>2.60600260416666</v>
      </c>
      <c r="O22" s="310">
        <v>5.5292359044312249</v>
      </c>
      <c r="P22" s="310">
        <v>5.7210693617724999</v>
      </c>
      <c r="Q22" s="310">
        <v>5.9119419642857203</v>
      </c>
      <c r="R22" s="310">
        <v>7.0007146990740754</v>
      </c>
      <c r="S22" s="310">
        <v>7.2340910218254004</v>
      </c>
      <c r="T22" s="310">
        <v>7.000714699074079</v>
      </c>
      <c r="U22" s="311">
        <v>5.7210693617724999</v>
      </c>
      <c r="V22" s="312">
        <v>2.60600260416666</v>
      </c>
      <c r="W22" s="310">
        <v>5.5292359044312249</v>
      </c>
      <c r="X22" s="310">
        <v>5.7210693617724999</v>
      </c>
      <c r="Y22" s="310">
        <v>5.9119419642857203</v>
      </c>
      <c r="Z22" s="310">
        <v>7.0007146990740754</v>
      </c>
      <c r="AA22" s="310">
        <v>7.2340910218254004</v>
      </c>
      <c r="AB22" s="310">
        <v>7.000714699074079</v>
      </c>
      <c r="AC22" s="311">
        <v>5.7210693617724999</v>
      </c>
      <c r="AD22" s="311"/>
      <c r="BJ22" s="2">
        <v>9</v>
      </c>
      <c r="BK22" s="2">
        <v>9</v>
      </c>
      <c r="BL22" s="2">
        <v>9</v>
      </c>
      <c r="BM22" s="2">
        <v>9</v>
      </c>
      <c r="BN22" s="2">
        <v>9</v>
      </c>
      <c r="BO22" s="2">
        <v>9</v>
      </c>
      <c r="BP22" s="2">
        <v>9</v>
      </c>
      <c r="BU22" s="2">
        <v>9</v>
      </c>
      <c r="BV22" s="2">
        <v>9</v>
      </c>
      <c r="BW22" s="139">
        <v>9</v>
      </c>
      <c r="BX22" s="140">
        <v>9</v>
      </c>
      <c r="BY22" s="2">
        <v>9</v>
      </c>
      <c r="BZ22" s="2">
        <v>9</v>
      </c>
      <c r="CA22" s="2">
        <v>9</v>
      </c>
    </row>
    <row r="23" spans="1:88" ht="16" thickBot="1" x14ac:dyDescent="0.35">
      <c r="A23" s="13"/>
      <c r="B23" s="176" t="s">
        <v>330</v>
      </c>
      <c r="C23" s="306"/>
      <c r="D23" s="307"/>
      <c r="E23" s="308">
        <v>0.75</v>
      </c>
      <c r="F23" s="313">
        <v>0</v>
      </c>
      <c r="G23" s="314">
        <v>0</v>
      </c>
      <c r="H23" s="314">
        <v>0</v>
      </c>
      <c r="I23" s="314">
        <v>0</v>
      </c>
      <c r="J23" s="314">
        <v>0</v>
      </c>
      <c r="K23" s="314">
        <v>0</v>
      </c>
      <c r="L23" s="314">
        <v>0</v>
      </c>
      <c r="M23" s="315">
        <v>0</v>
      </c>
      <c r="N23" s="309">
        <v>0</v>
      </c>
      <c r="O23" s="310">
        <v>0</v>
      </c>
      <c r="P23" s="310">
        <v>0</v>
      </c>
      <c r="Q23" s="310">
        <v>0</v>
      </c>
      <c r="R23" s="310">
        <v>0</v>
      </c>
      <c r="S23" s="310">
        <v>0</v>
      </c>
      <c r="T23" s="310">
        <v>0</v>
      </c>
      <c r="U23" s="311">
        <v>0</v>
      </c>
      <c r="V23" s="312">
        <v>0</v>
      </c>
      <c r="W23" s="310">
        <v>0</v>
      </c>
      <c r="X23" s="310">
        <v>0</v>
      </c>
      <c r="Y23" s="310">
        <v>0</v>
      </c>
      <c r="Z23" s="310">
        <v>0</v>
      </c>
      <c r="AA23" s="310">
        <v>0</v>
      </c>
      <c r="AB23" s="310">
        <v>0</v>
      </c>
      <c r="AC23" s="311">
        <v>0</v>
      </c>
      <c r="AD23" s="311"/>
      <c r="BW23" s="139" t="e">
        <v>#DIV/0!</v>
      </c>
      <c r="BX23" s="140">
        <v>0</v>
      </c>
    </row>
    <row r="24" spans="1:88" ht="16" thickBot="1" x14ac:dyDescent="0.35">
      <c r="A24" s="363" t="s">
        <v>302</v>
      </c>
      <c r="B24" s="352"/>
      <c r="C24" s="106"/>
      <c r="D24" s="14" t="s">
        <v>3</v>
      </c>
      <c r="E24" s="14"/>
      <c r="F24" s="15">
        <v>666.33780000000002</v>
      </c>
      <c r="G24" s="16">
        <v>695.04324999999994</v>
      </c>
      <c r="H24" s="16">
        <v>554.27125000000001</v>
      </c>
      <c r="I24" s="16">
        <v>623.57839999999999</v>
      </c>
      <c r="J24" s="16">
        <v>692.98449999999991</v>
      </c>
      <c r="K24" s="16">
        <v>1020.157</v>
      </c>
      <c r="L24" s="16">
        <v>729.13959999999997</v>
      </c>
      <c r="M24" s="49">
        <v>508.95925</v>
      </c>
      <c r="N24" s="179">
        <v>15.30545612762922</v>
      </c>
      <c r="O24" s="18">
        <v>18.99674680958805</v>
      </c>
      <c r="P24" s="18">
        <v>16.883361145605139</v>
      </c>
      <c r="Q24" s="18">
        <v>18.0439659552293</v>
      </c>
      <c r="R24" s="18">
        <v>21.680252986025149</v>
      </c>
      <c r="S24" s="18">
        <v>25.984567104440149</v>
      </c>
      <c r="T24" s="18">
        <v>19.200783464626781</v>
      </c>
      <c r="U24" s="19">
        <v>14.66347279355759</v>
      </c>
      <c r="V24" s="18">
        <v>15.30545612762922</v>
      </c>
      <c r="W24" s="18">
        <v>18.99674680958805</v>
      </c>
      <c r="X24" s="18">
        <v>17.153170559185391</v>
      </c>
      <c r="Y24" s="18">
        <v>18.624472754171091</v>
      </c>
      <c r="Z24" s="18">
        <v>22.367791774884051</v>
      </c>
      <c r="AA24" s="18">
        <v>23.65359273357064</v>
      </c>
      <c r="AB24" s="18">
        <v>19.719177600429241</v>
      </c>
      <c r="AC24" s="19">
        <v>14.66347279355759</v>
      </c>
      <c r="AD24" s="19"/>
      <c r="BW24" s="139" t="e">
        <v>#DIV/0!</v>
      </c>
      <c r="BX24" s="140">
        <v>0</v>
      </c>
    </row>
    <row r="25" spans="1:88" x14ac:dyDescent="0.3">
      <c r="A25" s="22"/>
      <c r="B25" s="23"/>
      <c r="C25" s="23"/>
      <c r="D25" s="24"/>
      <c r="E25" s="28"/>
      <c r="F25" s="25"/>
      <c r="G25" s="25"/>
      <c r="H25" s="25"/>
      <c r="I25" s="25"/>
      <c r="J25" s="25"/>
      <c r="K25" s="25"/>
      <c r="L25" s="25"/>
      <c r="M25" s="25"/>
      <c r="N25" s="26"/>
      <c r="O25" s="26"/>
      <c r="P25" s="26"/>
      <c r="Q25" s="26"/>
      <c r="R25" s="26"/>
      <c r="S25" s="26"/>
      <c r="T25" s="26"/>
      <c r="U25" s="26"/>
      <c r="V25" s="64"/>
      <c r="W25" s="12"/>
      <c r="X25" s="12"/>
      <c r="Y25" s="12"/>
      <c r="Z25" s="12"/>
      <c r="AA25" s="12"/>
      <c r="BW25" s="139" t="e">
        <v>#DIV/0!</v>
      </c>
      <c r="BX25" s="140">
        <v>0</v>
      </c>
    </row>
    <row r="26" spans="1:88" ht="16" thickBot="1" x14ac:dyDescent="0.35">
      <c r="A26" s="4"/>
      <c r="B26" s="28"/>
      <c r="C26" s="28"/>
      <c r="D26" s="28"/>
      <c r="E26" s="28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63"/>
      <c r="BW26" s="146" t="e">
        <v>#DIV/0!</v>
      </c>
      <c r="BX26" s="147">
        <v>0</v>
      </c>
    </row>
    <row r="27" spans="1:88" ht="16" thickBot="1" x14ac:dyDescent="0.35">
      <c r="A27" s="29" t="s">
        <v>331</v>
      </c>
      <c r="B27" s="361" t="s">
        <v>332</v>
      </c>
      <c r="C27" s="109"/>
      <c r="D27" s="30" t="s">
        <v>333</v>
      </c>
      <c r="E27" s="59"/>
      <c r="F27" s="366" t="s">
        <v>81</v>
      </c>
      <c r="G27" s="358"/>
      <c r="H27" s="358"/>
      <c r="I27" s="358"/>
      <c r="J27" s="358"/>
      <c r="K27" s="358"/>
      <c r="L27" s="358"/>
      <c r="M27" s="359"/>
      <c r="N27" s="357" t="s">
        <v>334</v>
      </c>
      <c r="O27" s="358"/>
      <c r="P27" s="358"/>
      <c r="Q27" s="358"/>
      <c r="R27" s="358"/>
      <c r="S27" s="358"/>
      <c r="T27" s="358"/>
      <c r="U27" s="359"/>
      <c r="V27" s="348" t="s">
        <v>335</v>
      </c>
      <c r="W27" s="352"/>
      <c r="X27" s="352"/>
      <c r="Y27" s="352"/>
      <c r="Z27" s="352"/>
      <c r="AA27" s="352"/>
      <c r="AB27" s="352"/>
      <c r="AC27" s="353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141" t="e">
        <v>#DIV/0!</v>
      </c>
      <c r="BX27" s="67">
        <v>0</v>
      </c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</row>
    <row r="28" spans="1:88" ht="16" thickBot="1" x14ac:dyDescent="0.35">
      <c r="A28" s="31" t="s">
        <v>336</v>
      </c>
      <c r="B28" s="362"/>
      <c r="C28" s="110"/>
      <c r="D28" s="30" t="s">
        <v>3</v>
      </c>
      <c r="E28" s="65"/>
      <c r="F28" s="237" t="s">
        <v>62</v>
      </c>
      <c r="G28" s="238" t="s">
        <v>358</v>
      </c>
      <c r="H28" s="238" t="s">
        <v>10</v>
      </c>
      <c r="I28" s="238" t="s">
        <v>11</v>
      </c>
      <c r="J28" s="239" t="s">
        <v>12</v>
      </c>
      <c r="K28" s="239" t="s">
        <v>13</v>
      </c>
      <c r="L28" s="32" t="s">
        <v>96</v>
      </c>
      <c r="M28" s="33" t="s">
        <v>97</v>
      </c>
      <c r="N28" s="132" t="s">
        <v>62</v>
      </c>
      <c r="O28" s="234" t="s">
        <v>357</v>
      </c>
      <c r="P28" s="234" t="s">
        <v>10</v>
      </c>
      <c r="Q28" s="234" t="s">
        <v>11</v>
      </c>
      <c r="R28" s="234" t="s">
        <v>12</v>
      </c>
      <c r="S28" s="234" t="s">
        <v>13</v>
      </c>
      <c r="T28" s="9" t="s">
        <v>96</v>
      </c>
      <c r="U28" s="10" t="s">
        <v>97</v>
      </c>
      <c r="V28" s="185"/>
      <c r="W28" s="186"/>
      <c r="X28" s="160"/>
      <c r="Y28" s="9"/>
      <c r="Z28" s="9"/>
      <c r="AA28" s="9"/>
      <c r="AB28" s="9"/>
      <c r="AC28" s="10"/>
      <c r="AD28" s="10" t="s">
        <v>337</v>
      </c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139" t="e">
        <v>#DIV/0!</v>
      </c>
      <c r="BX28" s="140">
        <v>0</v>
      </c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</row>
    <row r="29" spans="1:88" ht="16" thickBot="1" x14ac:dyDescent="0.35">
      <c r="A29" s="365" t="s">
        <v>63</v>
      </c>
      <c r="B29" s="316" t="s">
        <v>308</v>
      </c>
      <c r="C29" s="316"/>
      <c r="D29" s="317" t="s">
        <v>309</v>
      </c>
      <c r="E29" s="241"/>
      <c r="F29" s="214">
        <v>1</v>
      </c>
      <c r="G29" s="170">
        <v>1</v>
      </c>
      <c r="H29" s="170">
        <v>1</v>
      </c>
      <c r="I29" s="170">
        <v>1</v>
      </c>
      <c r="J29" s="170">
        <v>1</v>
      </c>
      <c r="K29" s="170">
        <v>1</v>
      </c>
      <c r="L29" s="170">
        <v>1</v>
      </c>
      <c r="M29" s="318">
        <v>1</v>
      </c>
      <c r="N29" s="319">
        <v>1</v>
      </c>
      <c r="O29" s="320">
        <v>1</v>
      </c>
      <c r="P29" s="320">
        <v>1</v>
      </c>
      <c r="Q29" s="320">
        <v>1</v>
      </c>
      <c r="R29" s="320">
        <v>1</v>
      </c>
      <c r="S29" s="320">
        <v>1</v>
      </c>
      <c r="T29" s="320">
        <v>1</v>
      </c>
      <c r="U29" s="321">
        <v>1</v>
      </c>
      <c r="V29" s="322" t="s">
        <v>338</v>
      </c>
      <c r="W29" s="323"/>
      <c r="X29" s="324"/>
      <c r="Y29" s="325"/>
      <c r="Z29" s="325"/>
      <c r="AA29" s="325"/>
      <c r="AB29" s="325"/>
      <c r="AC29" s="326"/>
      <c r="AD29" s="260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139" t="e">
        <v>#DIV/0!</v>
      </c>
      <c r="BX29" s="140">
        <v>0</v>
      </c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</row>
    <row r="30" spans="1:88" x14ac:dyDescent="0.3">
      <c r="A30" s="345"/>
      <c r="B30" s="316" t="s">
        <v>107</v>
      </c>
      <c r="C30" s="316"/>
      <c r="D30" s="327" t="s">
        <v>310</v>
      </c>
      <c r="E30" s="241"/>
      <c r="F30" s="313">
        <v>1</v>
      </c>
      <c r="G30" s="328">
        <v>1</v>
      </c>
      <c r="H30" s="328">
        <v>1</v>
      </c>
      <c r="I30" s="328">
        <v>1</v>
      </c>
      <c r="J30" s="328">
        <v>1</v>
      </c>
      <c r="K30" s="328">
        <v>1</v>
      </c>
      <c r="L30" s="328"/>
      <c r="M30" s="329"/>
      <c r="N30" s="319">
        <v>1</v>
      </c>
      <c r="O30" s="320">
        <v>1</v>
      </c>
      <c r="P30" s="320">
        <v>1</v>
      </c>
      <c r="Q30" s="320">
        <v>1</v>
      </c>
      <c r="R30" s="320">
        <v>1</v>
      </c>
      <c r="S30" s="320">
        <v>1</v>
      </c>
      <c r="T30" s="320"/>
      <c r="U30" s="330"/>
      <c r="V30" s="322" t="s">
        <v>339</v>
      </c>
      <c r="W30" s="323"/>
      <c r="X30" s="324"/>
      <c r="Y30" s="325"/>
      <c r="Z30" s="325"/>
      <c r="AA30" s="325"/>
      <c r="AB30" s="325"/>
      <c r="AC30" s="326"/>
      <c r="AD30" s="260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139" t="e">
        <v>#DIV/0!</v>
      </c>
      <c r="BX30" s="140">
        <v>0</v>
      </c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</row>
    <row r="31" spans="1:88" x14ac:dyDescent="0.3">
      <c r="A31" s="345"/>
      <c r="B31" s="316" t="s">
        <v>64</v>
      </c>
      <c r="C31" s="316"/>
      <c r="D31" s="327" t="s">
        <v>65</v>
      </c>
      <c r="E31" s="241"/>
      <c r="F31" s="313">
        <v>2</v>
      </c>
      <c r="G31" s="328">
        <v>2</v>
      </c>
      <c r="H31" s="328">
        <v>2</v>
      </c>
      <c r="I31" s="328">
        <v>2</v>
      </c>
      <c r="J31" s="328">
        <v>2</v>
      </c>
      <c r="K31" s="328">
        <v>2</v>
      </c>
      <c r="L31" s="328">
        <v>2</v>
      </c>
      <c r="M31" s="329">
        <v>2</v>
      </c>
      <c r="N31" s="331">
        <v>0.86261284656084602</v>
      </c>
      <c r="O31" s="332">
        <v>1.433410502645502</v>
      </c>
      <c r="P31" s="332">
        <v>0.43995001102292752</v>
      </c>
      <c r="Q31" s="332">
        <v>0.8067527777777781</v>
      </c>
      <c r="R31" s="332">
        <v>-0.38649444444444508</v>
      </c>
      <c r="S31" s="332">
        <v>0.93933580246913495</v>
      </c>
      <c r="T31" s="332">
        <v>2</v>
      </c>
      <c r="U31" s="321">
        <v>2</v>
      </c>
      <c r="V31" s="322" t="s">
        <v>340</v>
      </c>
      <c r="W31" s="323"/>
      <c r="X31" s="324"/>
      <c r="Y31" s="325"/>
      <c r="Z31" s="325"/>
      <c r="AA31" s="325"/>
      <c r="AB31" s="325"/>
      <c r="AC31" s="326"/>
      <c r="AD31" s="260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139" t="e">
        <v>#DIV/0!</v>
      </c>
      <c r="BX31" s="140">
        <v>0</v>
      </c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</row>
    <row r="32" spans="1:88" x14ac:dyDescent="0.3">
      <c r="A32" s="345"/>
      <c r="B32" s="316" t="s">
        <v>128</v>
      </c>
      <c r="C32" s="316"/>
      <c r="D32" s="327" t="s">
        <v>311</v>
      </c>
      <c r="E32" s="241"/>
      <c r="F32" s="313">
        <v>1</v>
      </c>
      <c r="G32" s="328">
        <v>1</v>
      </c>
      <c r="H32" s="328">
        <v>1</v>
      </c>
      <c r="I32" s="328">
        <v>1</v>
      </c>
      <c r="J32" s="328">
        <v>1</v>
      </c>
      <c r="K32" s="328">
        <v>1</v>
      </c>
      <c r="L32" s="328"/>
      <c r="M32" s="329"/>
      <c r="N32" s="331">
        <v>1</v>
      </c>
      <c r="O32" s="332">
        <v>1</v>
      </c>
      <c r="P32" s="332">
        <v>1</v>
      </c>
      <c r="Q32" s="332">
        <v>1</v>
      </c>
      <c r="R32" s="332">
        <v>1</v>
      </c>
      <c r="S32" s="332">
        <v>1</v>
      </c>
      <c r="T32" s="332"/>
      <c r="U32" s="321"/>
      <c r="V32" s="322" t="s">
        <v>341</v>
      </c>
      <c r="W32" s="323"/>
      <c r="X32" s="324"/>
      <c r="Y32" s="325"/>
      <c r="Z32" s="325"/>
      <c r="AA32" s="325"/>
      <c r="AB32" s="325"/>
      <c r="AC32" s="326"/>
      <c r="AD32" s="260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139" t="e">
        <v>#DIV/0!</v>
      </c>
      <c r="BX32" s="140">
        <v>0</v>
      </c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</row>
    <row r="33" spans="1:79" x14ac:dyDescent="0.3">
      <c r="A33" s="345"/>
      <c r="B33" s="316" t="s">
        <v>191</v>
      </c>
      <c r="C33" s="316"/>
      <c r="D33" s="327" t="s">
        <v>67</v>
      </c>
      <c r="E33" s="241"/>
      <c r="F33" s="313">
        <v>2</v>
      </c>
      <c r="G33" s="328">
        <v>2</v>
      </c>
      <c r="H33" s="328">
        <v>2</v>
      </c>
      <c r="I33" s="328">
        <v>2</v>
      </c>
      <c r="J33" s="328">
        <v>2</v>
      </c>
      <c r="K33" s="328">
        <v>2</v>
      </c>
      <c r="L33" s="328">
        <v>2</v>
      </c>
      <c r="M33" s="329">
        <v>2</v>
      </c>
      <c r="N33" s="331">
        <v>2</v>
      </c>
      <c r="O33" s="332">
        <v>2</v>
      </c>
      <c r="P33" s="332">
        <v>2</v>
      </c>
      <c r="Q33" s="332">
        <v>2</v>
      </c>
      <c r="R33" s="332">
        <v>2</v>
      </c>
      <c r="S33" s="332">
        <v>2</v>
      </c>
      <c r="T33" s="332">
        <v>2</v>
      </c>
      <c r="U33" s="321">
        <v>2</v>
      </c>
      <c r="V33" s="322" t="s">
        <v>342</v>
      </c>
      <c r="W33" s="323"/>
      <c r="X33" s="324"/>
      <c r="Y33" s="325"/>
      <c r="Z33" s="325"/>
      <c r="AA33" s="325"/>
      <c r="AB33" s="325"/>
      <c r="AC33" s="326"/>
      <c r="AD33" s="260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139" t="e">
        <v>#DIV/0!</v>
      </c>
      <c r="BX33" s="140">
        <v>0</v>
      </c>
      <c r="BY33" s="46"/>
      <c r="BZ33" s="46"/>
      <c r="CA33" s="46"/>
    </row>
    <row r="34" spans="1:79" x14ac:dyDescent="0.3">
      <c r="A34" s="345"/>
      <c r="B34" s="316" t="s">
        <v>312</v>
      </c>
      <c r="C34" s="316"/>
      <c r="D34" s="327" t="s">
        <v>313</v>
      </c>
      <c r="E34" s="241"/>
      <c r="F34" s="313">
        <v>1</v>
      </c>
      <c r="G34" s="328">
        <v>1</v>
      </c>
      <c r="H34" s="328">
        <v>1</v>
      </c>
      <c r="I34" s="328">
        <v>1</v>
      </c>
      <c r="J34" s="328">
        <v>1</v>
      </c>
      <c r="K34" s="328">
        <v>1</v>
      </c>
      <c r="L34" s="328"/>
      <c r="M34" s="329"/>
      <c r="N34" s="331">
        <v>1</v>
      </c>
      <c r="O34" s="332">
        <v>1</v>
      </c>
      <c r="P34" s="332">
        <v>1</v>
      </c>
      <c r="Q34" s="332">
        <v>1</v>
      </c>
      <c r="R34" s="332">
        <v>1</v>
      </c>
      <c r="S34" s="332">
        <v>1</v>
      </c>
      <c r="T34" s="332"/>
      <c r="U34" s="321"/>
      <c r="V34" s="322" t="s">
        <v>343</v>
      </c>
      <c r="W34" s="323"/>
      <c r="X34" s="324"/>
      <c r="Y34" s="325"/>
      <c r="Z34" s="325"/>
      <c r="AA34" s="325"/>
      <c r="AB34" s="325"/>
      <c r="AC34" s="326"/>
      <c r="AD34" s="260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139" t="e">
        <v>#DIV/0!</v>
      </c>
      <c r="BX34" s="140">
        <v>0</v>
      </c>
      <c r="BY34" s="46"/>
      <c r="BZ34" s="46"/>
      <c r="CA34" s="46"/>
    </row>
    <row r="35" spans="1:79" x14ac:dyDescent="0.3">
      <c r="A35" s="345"/>
      <c r="B35" s="316" t="s">
        <v>314</v>
      </c>
      <c r="C35" s="316"/>
      <c r="D35" s="327" t="s">
        <v>67</v>
      </c>
      <c r="E35" s="241"/>
      <c r="F35" s="313"/>
      <c r="G35" s="328"/>
      <c r="H35" s="328"/>
      <c r="I35" s="328"/>
      <c r="J35" s="328"/>
      <c r="K35" s="328"/>
      <c r="L35" s="328"/>
      <c r="M35" s="329"/>
      <c r="N35" s="331"/>
      <c r="O35" s="332"/>
      <c r="P35" s="332"/>
      <c r="Q35" s="332"/>
      <c r="R35" s="332"/>
      <c r="S35" s="332"/>
      <c r="T35" s="332"/>
      <c r="U35" s="321"/>
      <c r="V35" s="322"/>
      <c r="W35" s="323"/>
      <c r="X35" s="324"/>
      <c r="Y35" s="325"/>
      <c r="Z35" s="325"/>
      <c r="AA35" s="325"/>
      <c r="AB35" s="325"/>
      <c r="AC35" s="326"/>
      <c r="AD35" s="260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139" t="e">
        <v>#DIV/0!</v>
      </c>
      <c r="BX35" s="140">
        <v>0</v>
      </c>
      <c r="BY35" s="46"/>
      <c r="BZ35" s="46"/>
      <c r="CA35" s="46"/>
    </row>
    <row r="36" spans="1:79" x14ac:dyDescent="0.3">
      <c r="A36" s="345"/>
      <c r="B36" s="316" t="s">
        <v>315</v>
      </c>
      <c r="C36" s="316"/>
      <c r="D36" s="327" t="s">
        <v>316</v>
      </c>
      <c r="E36" s="241"/>
      <c r="F36" s="313"/>
      <c r="G36" s="328"/>
      <c r="H36" s="328"/>
      <c r="I36" s="328"/>
      <c r="J36" s="328"/>
      <c r="K36" s="328"/>
      <c r="L36" s="328"/>
      <c r="M36" s="329"/>
      <c r="N36" s="331"/>
      <c r="O36" s="332"/>
      <c r="P36" s="332"/>
      <c r="Q36" s="332"/>
      <c r="R36" s="332"/>
      <c r="S36" s="332"/>
      <c r="T36" s="332"/>
      <c r="U36" s="321"/>
      <c r="V36" s="322"/>
      <c r="W36" s="323"/>
      <c r="X36" s="324"/>
      <c r="Y36" s="325"/>
      <c r="Z36" s="325"/>
      <c r="AA36" s="325"/>
      <c r="AB36" s="325"/>
      <c r="AC36" s="326"/>
      <c r="AD36" s="260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139" t="e">
        <v>#DIV/0!</v>
      </c>
      <c r="BX36" s="140">
        <v>0</v>
      </c>
      <c r="BY36" s="46"/>
      <c r="BZ36" s="46"/>
      <c r="CA36" s="46"/>
    </row>
    <row r="37" spans="1:79" x14ac:dyDescent="0.3">
      <c r="A37" s="345"/>
      <c r="B37" s="316" t="s">
        <v>66</v>
      </c>
      <c r="C37" s="316"/>
      <c r="D37" s="327" t="s">
        <v>67</v>
      </c>
      <c r="E37" s="241"/>
      <c r="F37" s="313">
        <v>1</v>
      </c>
      <c r="G37" s="328">
        <v>1</v>
      </c>
      <c r="H37" s="328">
        <v>1</v>
      </c>
      <c r="I37" s="328">
        <v>1</v>
      </c>
      <c r="J37" s="328">
        <v>1</v>
      </c>
      <c r="K37" s="328">
        <v>1</v>
      </c>
      <c r="L37" s="328">
        <v>1</v>
      </c>
      <c r="M37" s="329">
        <v>1</v>
      </c>
      <c r="N37" s="331">
        <v>0.14563815219738599</v>
      </c>
      <c r="O37" s="332">
        <v>0.20813068491807751</v>
      </c>
      <c r="P37" s="332">
        <v>-1.9148104103797529E-2</v>
      </c>
      <c r="Q37" s="332">
        <v>7.2831931018021989E-2</v>
      </c>
      <c r="R37" s="332">
        <v>-8.9614944568052524E-2</v>
      </c>
      <c r="S37" s="332">
        <v>0.30143515211640248</v>
      </c>
      <c r="T37" s="332">
        <v>0.61588865449479802</v>
      </c>
      <c r="U37" s="321">
        <v>0.28206567829721751</v>
      </c>
      <c r="V37" s="322" t="s">
        <v>344</v>
      </c>
      <c r="W37" s="323"/>
      <c r="X37" s="324"/>
      <c r="Y37" s="325"/>
      <c r="Z37" s="325"/>
      <c r="AA37" s="325"/>
      <c r="AB37" s="325"/>
      <c r="AC37" s="326"/>
      <c r="AD37" s="260" t="s">
        <v>345</v>
      </c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139" t="e">
        <v>#DIV/0!</v>
      </c>
      <c r="BX37" s="140">
        <v>0</v>
      </c>
      <c r="BY37" s="46"/>
      <c r="BZ37" s="46"/>
      <c r="CA37" s="46"/>
    </row>
    <row r="38" spans="1:79" x14ac:dyDescent="0.3">
      <c r="A38" s="345"/>
      <c r="B38" s="316" t="s">
        <v>317</v>
      </c>
      <c r="C38" s="316"/>
      <c r="D38" s="327"/>
      <c r="E38" s="241"/>
      <c r="F38" s="313"/>
      <c r="G38" s="328"/>
      <c r="H38" s="328"/>
      <c r="I38" s="328"/>
      <c r="J38" s="328"/>
      <c r="K38" s="328"/>
      <c r="L38" s="328"/>
      <c r="M38" s="329"/>
      <c r="N38" s="331"/>
      <c r="O38" s="332"/>
      <c r="P38" s="332"/>
      <c r="Q38" s="332"/>
      <c r="R38" s="332"/>
      <c r="S38" s="332"/>
      <c r="T38" s="332"/>
      <c r="U38" s="321"/>
      <c r="V38" s="322"/>
      <c r="W38" s="323"/>
      <c r="X38" s="324"/>
      <c r="Y38" s="325"/>
      <c r="Z38" s="325"/>
      <c r="AA38" s="325"/>
      <c r="AB38" s="325"/>
      <c r="AC38" s="326"/>
      <c r="AD38" s="260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139" t="e">
        <v>#DIV/0!</v>
      </c>
      <c r="BX38" s="140">
        <v>0</v>
      </c>
      <c r="BY38" s="46"/>
      <c r="BZ38" s="46"/>
      <c r="CA38" s="46"/>
    </row>
    <row r="39" spans="1:79" x14ac:dyDescent="0.3">
      <c r="A39" s="345"/>
      <c r="B39" s="316" t="s">
        <v>318</v>
      </c>
      <c r="C39" s="316"/>
      <c r="D39" s="327" t="s">
        <v>135</v>
      </c>
      <c r="E39" s="241"/>
      <c r="F39" s="313">
        <v>2</v>
      </c>
      <c r="G39" s="328">
        <v>2</v>
      </c>
      <c r="H39" s="328">
        <v>2</v>
      </c>
      <c r="I39" s="328">
        <v>2</v>
      </c>
      <c r="J39" s="328">
        <v>2</v>
      </c>
      <c r="K39" s="328">
        <v>2</v>
      </c>
      <c r="L39" s="328">
        <v>2</v>
      </c>
      <c r="M39" s="329">
        <v>2</v>
      </c>
      <c r="N39" s="331">
        <v>1.534735746182786</v>
      </c>
      <c r="O39" s="332">
        <v>1.742717357208055</v>
      </c>
      <c r="P39" s="332">
        <v>1.755414521329365</v>
      </c>
      <c r="Q39" s="332">
        <v>1.796761561042312</v>
      </c>
      <c r="R39" s="332">
        <v>1.014753128259255</v>
      </c>
      <c r="S39" s="332">
        <v>0.99839885597213995</v>
      </c>
      <c r="T39" s="332">
        <v>0.87813179959695198</v>
      </c>
      <c r="U39" s="321">
        <v>2</v>
      </c>
      <c r="V39" s="322"/>
      <c r="W39" s="323"/>
      <c r="X39" s="324"/>
      <c r="Y39" s="325"/>
      <c r="Z39" s="325"/>
      <c r="AA39" s="325"/>
      <c r="AB39" s="325"/>
      <c r="AC39" s="326"/>
      <c r="AD39" s="260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139" t="e">
        <v>#DIV/0!</v>
      </c>
      <c r="BX39" s="140">
        <v>0</v>
      </c>
      <c r="BY39" s="46"/>
      <c r="BZ39" s="46"/>
      <c r="CA39" s="46"/>
    </row>
    <row r="40" spans="1:79" x14ac:dyDescent="0.3">
      <c r="A40" s="345"/>
      <c r="B40" s="316" t="s">
        <v>319</v>
      </c>
      <c r="C40" s="316"/>
      <c r="D40" s="327" t="s">
        <v>311</v>
      </c>
      <c r="E40" s="241"/>
      <c r="F40" s="313"/>
      <c r="G40" s="328"/>
      <c r="H40" s="328"/>
      <c r="I40" s="328"/>
      <c r="J40" s="328"/>
      <c r="K40" s="328"/>
      <c r="L40" s="328"/>
      <c r="M40" s="329"/>
      <c r="N40" s="331"/>
      <c r="O40" s="332"/>
      <c r="P40" s="332"/>
      <c r="Q40" s="332"/>
      <c r="R40" s="332"/>
      <c r="S40" s="332"/>
      <c r="T40" s="332"/>
      <c r="U40" s="321"/>
      <c r="V40" s="322" t="s">
        <v>346</v>
      </c>
      <c r="W40" s="323"/>
      <c r="X40" s="324"/>
      <c r="Y40" s="325"/>
      <c r="Z40" s="325"/>
      <c r="AA40" s="325"/>
      <c r="AB40" s="325"/>
      <c r="AC40" s="326"/>
      <c r="AD40" s="260" t="s">
        <v>347</v>
      </c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139" t="e">
        <v>#DIV/0!</v>
      </c>
      <c r="BX40" s="140">
        <v>0</v>
      </c>
      <c r="BY40" s="46"/>
      <c r="BZ40" s="46"/>
      <c r="CA40" s="46"/>
    </row>
    <row r="41" spans="1:79" x14ac:dyDescent="0.3">
      <c r="A41" s="345"/>
      <c r="B41" s="316" t="s">
        <v>320</v>
      </c>
      <c r="C41" s="316"/>
      <c r="D41" s="327" t="s">
        <v>321</v>
      </c>
      <c r="E41" s="241"/>
      <c r="F41" s="313">
        <v>1</v>
      </c>
      <c r="G41" s="328">
        <v>1</v>
      </c>
      <c r="H41" s="328">
        <v>1</v>
      </c>
      <c r="I41" s="328">
        <v>1</v>
      </c>
      <c r="J41" s="328">
        <v>1</v>
      </c>
      <c r="K41" s="328">
        <v>1</v>
      </c>
      <c r="L41" s="328">
        <v>1</v>
      </c>
      <c r="M41" s="329">
        <v>1</v>
      </c>
      <c r="N41" s="319">
        <v>1</v>
      </c>
      <c r="O41" s="320">
        <v>1</v>
      </c>
      <c r="P41" s="320">
        <v>1</v>
      </c>
      <c r="Q41" s="320">
        <v>1</v>
      </c>
      <c r="R41" s="320">
        <v>1</v>
      </c>
      <c r="S41" s="320">
        <v>1</v>
      </c>
      <c r="T41" s="320">
        <v>1</v>
      </c>
      <c r="U41" s="330">
        <v>1</v>
      </c>
      <c r="V41" s="322"/>
      <c r="W41" s="323"/>
      <c r="X41" s="324"/>
      <c r="Y41" s="325"/>
      <c r="Z41" s="325"/>
      <c r="AA41" s="325"/>
      <c r="AB41" s="325"/>
      <c r="AC41" s="326"/>
      <c r="AD41" s="260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139" t="e">
        <v>#DIV/0!</v>
      </c>
      <c r="BX41" s="140">
        <v>0</v>
      </c>
      <c r="BY41" s="46"/>
      <c r="BZ41" s="46"/>
      <c r="CA41" s="46"/>
    </row>
    <row r="42" spans="1:79" x14ac:dyDescent="0.3">
      <c r="A42" s="345"/>
      <c r="B42" s="316" t="s">
        <v>323</v>
      </c>
      <c r="C42" s="316"/>
      <c r="D42" s="327" t="s">
        <v>324</v>
      </c>
      <c r="E42" s="241"/>
      <c r="F42" s="313">
        <v>1</v>
      </c>
      <c r="G42" s="328">
        <v>1</v>
      </c>
      <c r="H42" s="328">
        <v>1</v>
      </c>
      <c r="I42" s="328">
        <v>1</v>
      </c>
      <c r="J42" s="328">
        <v>1</v>
      </c>
      <c r="K42" s="328">
        <v>1</v>
      </c>
      <c r="L42" s="328">
        <v>1</v>
      </c>
      <c r="M42" s="329">
        <v>1</v>
      </c>
      <c r="N42" s="319">
        <v>0.73627079497354497</v>
      </c>
      <c r="O42" s="320">
        <v>0.87140066964285723</v>
      </c>
      <c r="P42" s="320">
        <v>1</v>
      </c>
      <c r="Q42" s="320">
        <v>1</v>
      </c>
      <c r="R42" s="320">
        <v>1</v>
      </c>
      <c r="S42" s="320">
        <v>0.59240522486772496</v>
      </c>
      <c r="T42" s="320">
        <v>0.98871362433862431</v>
      </c>
      <c r="U42" s="330">
        <v>1</v>
      </c>
      <c r="V42" s="322" t="s">
        <v>348</v>
      </c>
      <c r="W42" s="323"/>
      <c r="X42" s="324"/>
      <c r="Y42" s="325"/>
      <c r="Z42" s="325"/>
      <c r="AA42" s="325"/>
      <c r="AB42" s="325"/>
      <c r="AC42" s="326"/>
      <c r="AD42" s="260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139" t="e">
        <v>#DIV/0!</v>
      </c>
      <c r="BX42" s="140">
        <v>0</v>
      </c>
      <c r="BY42" s="46"/>
      <c r="BZ42" s="46"/>
      <c r="CA42" s="46"/>
    </row>
    <row r="43" spans="1:79" x14ac:dyDescent="0.3">
      <c r="A43" s="345"/>
      <c r="B43" s="316" t="s">
        <v>183</v>
      </c>
      <c r="C43" s="316"/>
      <c r="D43" s="327" t="s">
        <v>325</v>
      </c>
      <c r="E43" s="241"/>
      <c r="F43" s="313"/>
      <c r="G43" s="328"/>
      <c r="H43" s="328"/>
      <c r="I43" s="328"/>
      <c r="J43" s="328"/>
      <c r="K43" s="328"/>
      <c r="L43" s="328"/>
      <c r="M43" s="329"/>
      <c r="N43" s="319"/>
      <c r="O43" s="320"/>
      <c r="P43" s="320"/>
      <c r="Q43" s="320"/>
      <c r="R43" s="320"/>
      <c r="S43" s="320"/>
      <c r="T43" s="320"/>
      <c r="U43" s="330"/>
      <c r="V43" s="322" t="s">
        <v>349</v>
      </c>
      <c r="W43" s="323"/>
      <c r="X43" s="324"/>
      <c r="Y43" s="325"/>
      <c r="Z43" s="325"/>
      <c r="AA43" s="325"/>
      <c r="AB43" s="325"/>
      <c r="AC43" s="326"/>
      <c r="AD43" s="260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139" t="e">
        <v>#DIV/0!</v>
      </c>
      <c r="BX43" s="140">
        <v>0</v>
      </c>
      <c r="BY43" s="46"/>
      <c r="BZ43" s="46"/>
      <c r="CA43" s="46"/>
    </row>
    <row r="44" spans="1:79" x14ac:dyDescent="0.3">
      <c r="A44" s="345"/>
      <c r="B44" s="316" t="s">
        <v>68</v>
      </c>
      <c r="C44" s="316"/>
      <c r="D44" s="327" t="s">
        <v>65</v>
      </c>
      <c r="E44" s="241"/>
      <c r="F44" s="313">
        <v>11</v>
      </c>
      <c r="G44" s="328">
        <v>11</v>
      </c>
      <c r="H44" s="328">
        <v>11</v>
      </c>
      <c r="I44" s="328">
        <v>11</v>
      </c>
      <c r="J44" s="328">
        <v>11</v>
      </c>
      <c r="K44" s="328">
        <v>11</v>
      </c>
      <c r="L44" s="328">
        <v>11</v>
      </c>
      <c r="M44" s="329">
        <v>11</v>
      </c>
      <c r="N44" s="319">
        <v>2.5199235221607998</v>
      </c>
      <c r="O44" s="320">
        <v>1.20700872743045</v>
      </c>
      <c r="P44" s="320">
        <v>4.5916706349206251</v>
      </c>
      <c r="Q44" s="320">
        <v>3.0968554998003199</v>
      </c>
      <c r="R44" s="320">
        <v>3.6438092215975999</v>
      </c>
      <c r="S44" s="320">
        <v>-1.7557384416733</v>
      </c>
      <c r="T44" s="320">
        <v>1.4049079408493801</v>
      </c>
      <c r="U44" s="330">
        <v>3.8367654578189252</v>
      </c>
      <c r="V44" s="322"/>
      <c r="W44" s="323"/>
      <c r="X44" s="324"/>
      <c r="Y44" s="325"/>
      <c r="Z44" s="325"/>
      <c r="AA44" s="325"/>
      <c r="AB44" s="325"/>
      <c r="AC44" s="326"/>
      <c r="AD44" s="260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139" t="e">
        <v>#DIV/0!</v>
      </c>
      <c r="BX44" s="140">
        <v>0</v>
      </c>
      <c r="BY44" s="46"/>
      <c r="BZ44" s="46"/>
      <c r="CA44" s="46"/>
    </row>
    <row r="45" spans="1:79" x14ac:dyDescent="0.3">
      <c r="A45" s="345"/>
      <c r="B45" s="316" t="s">
        <v>327</v>
      </c>
      <c r="C45" s="316"/>
      <c r="D45" s="327" t="s">
        <v>328</v>
      </c>
      <c r="E45" s="241"/>
      <c r="F45" s="313">
        <v>1</v>
      </c>
      <c r="G45" s="328">
        <v>1</v>
      </c>
      <c r="H45" s="328">
        <v>1</v>
      </c>
      <c r="I45" s="328">
        <v>1</v>
      </c>
      <c r="J45" s="328">
        <v>1</v>
      </c>
      <c r="K45" s="328">
        <v>1</v>
      </c>
      <c r="L45" s="328"/>
      <c r="M45" s="329"/>
      <c r="N45" s="319">
        <v>1</v>
      </c>
      <c r="O45" s="320">
        <v>1</v>
      </c>
      <c r="P45" s="320">
        <v>1</v>
      </c>
      <c r="Q45" s="320">
        <v>1</v>
      </c>
      <c r="R45" s="320">
        <v>1</v>
      </c>
      <c r="S45" s="320">
        <v>1</v>
      </c>
      <c r="T45" s="320"/>
      <c r="U45" s="330"/>
      <c r="V45" s="322" t="s">
        <v>350</v>
      </c>
      <c r="W45" s="323"/>
      <c r="X45" s="324"/>
      <c r="Y45" s="325"/>
      <c r="Z45" s="325"/>
      <c r="AA45" s="325"/>
      <c r="AB45" s="325"/>
      <c r="AC45" s="326"/>
      <c r="AD45" s="260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139" t="e">
        <v>#DIV/0!</v>
      </c>
      <c r="BX45" s="140">
        <v>0</v>
      </c>
      <c r="BY45" s="46"/>
      <c r="BZ45" s="46"/>
      <c r="CA45" s="46"/>
    </row>
    <row r="46" spans="1:79" x14ac:dyDescent="0.3">
      <c r="A46" s="345"/>
      <c r="B46" s="316" t="s">
        <v>69</v>
      </c>
      <c r="C46" s="316"/>
      <c r="D46" s="327" t="s">
        <v>48</v>
      </c>
      <c r="E46" s="241"/>
      <c r="F46" s="313">
        <v>2</v>
      </c>
      <c r="G46" s="328">
        <v>2</v>
      </c>
      <c r="H46" s="328">
        <v>2</v>
      </c>
      <c r="I46" s="328">
        <v>2</v>
      </c>
      <c r="J46" s="328">
        <v>2</v>
      </c>
      <c r="K46" s="328">
        <v>2</v>
      </c>
      <c r="L46" s="328">
        <v>2</v>
      </c>
      <c r="M46" s="329">
        <v>2</v>
      </c>
      <c r="N46" s="319">
        <v>0.50136541446208005</v>
      </c>
      <c r="O46" s="320">
        <v>6.9821152998235103E-2</v>
      </c>
      <c r="P46" s="320">
        <v>6.9821152998235103E-2</v>
      </c>
      <c r="Q46" s="332">
        <v>9.4774239417990014E-2</v>
      </c>
      <c r="R46" s="332">
        <v>-0.8619912477954248</v>
      </c>
      <c r="S46" s="332">
        <v>-0.8263126763668498</v>
      </c>
      <c r="T46" s="332">
        <v>0.91228921516754791</v>
      </c>
      <c r="U46" s="321">
        <v>0.93876543209876506</v>
      </c>
      <c r="V46" s="322" t="s">
        <v>351</v>
      </c>
      <c r="W46" s="323"/>
      <c r="X46" s="324"/>
      <c r="Y46" s="325"/>
      <c r="Z46" s="325"/>
      <c r="AA46" s="325"/>
      <c r="AB46" s="325"/>
      <c r="AC46" s="326"/>
      <c r="AD46" s="260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139" t="e">
        <v>#DIV/0!</v>
      </c>
      <c r="BX46" s="140">
        <v>0</v>
      </c>
      <c r="BY46" s="46"/>
      <c r="BZ46" s="46"/>
      <c r="CA46" s="46"/>
    </row>
    <row r="47" spans="1:79" x14ac:dyDescent="0.3">
      <c r="A47" s="345"/>
      <c r="B47" s="316" t="s">
        <v>329</v>
      </c>
      <c r="C47" s="316"/>
      <c r="D47" s="327" t="s">
        <v>321</v>
      </c>
      <c r="E47" s="241"/>
      <c r="F47" s="313">
        <v>7</v>
      </c>
      <c r="G47" s="328">
        <v>10</v>
      </c>
      <c r="H47" s="328">
        <v>10</v>
      </c>
      <c r="I47" s="328">
        <v>10</v>
      </c>
      <c r="J47" s="328">
        <v>10</v>
      </c>
      <c r="K47" s="328">
        <v>10</v>
      </c>
      <c r="L47" s="328">
        <v>10</v>
      </c>
      <c r="M47" s="329">
        <v>10</v>
      </c>
      <c r="N47" s="319">
        <v>4.39399739583334</v>
      </c>
      <c r="O47" s="320">
        <v>4.4707640955687751</v>
      </c>
      <c r="P47" s="320">
        <v>4.2789306382275001</v>
      </c>
      <c r="Q47" s="320">
        <v>4.0880580357142797</v>
      </c>
      <c r="R47" s="320">
        <v>2.999285300925925</v>
      </c>
      <c r="S47" s="320">
        <v>2.7659089781746</v>
      </c>
      <c r="T47" s="320">
        <v>2.999285300925921</v>
      </c>
      <c r="U47" s="330">
        <v>4.2789306382275001</v>
      </c>
      <c r="V47" s="322" t="s">
        <v>352</v>
      </c>
      <c r="W47" s="323"/>
      <c r="X47" s="324"/>
      <c r="Y47" s="325"/>
      <c r="Z47" s="325"/>
      <c r="AA47" s="325"/>
      <c r="AB47" s="325"/>
      <c r="AC47" s="326"/>
      <c r="AD47" s="260" t="s">
        <v>347</v>
      </c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139" t="e">
        <v>#DIV/0!</v>
      </c>
      <c r="BX47" s="140">
        <v>0</v>
      </c>
      <c r="BY47" s="46"/>
      <c r="BZ47" s="46"/>
      <c r="CA47" s="46"/>
    </row>
    <row r="48" spans="1:79" ht="16" thickBot="1" x14ac:dyDescent="0.35">
      <c r="A48" s="347"/>
      <c r="B48" s="316" t="s">
        <v>330</v>
      </c>
      <c r="C48" s="316"/>
      <c r="D48" s="327"/>
      <c r="E48" s="241"/>
      <c r="F48" s="313"/>
      <c r="G48" s="35"/>
      <c r="H48" s="35"/>
      <c r="I48" s="35"/>
      <c r="J48" s="35"/>
      <c r="K48" s="35"/>
      <c r="L48" s="35"/>
      <c r="M48" s="36"/>
      <c r="N48" s="319"/>
      <c r="O48" s="320"/>
      <c r="P48" s="320"/>
      <c r="Q48" s="320"/>
      <c r="R48" s="320"/>
      <c r="S48" s="320"/>
      <c r="T48" s="320"/>
      <c r="U48" s="330"/>
      <c r="V48" s="322" t="s">
        <v>353</v>
      </c>
      <c r="W48" s="323"/>
      <c r="X48" s="324"/>
      <c r="Y48" s="325"/>
      <c r="Z48" s="325"/>
      <c r="AA48" s="325"/>
      <c r="AB48" s="325"/>
      <c r="AC48" s="326"/>
      <c r="AD48" s="260" t="s">
        <v>354</v>
      </c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139" t="e">
        <v>#DIV/0!</v>
      </c>
      <c r="BX48" s="140">
        <v>0</v>
      </c>
      <c r="BY48" s="46"/>
      <c r="BZ48" s="46"/>
      <c r="CA48" s="46"/>
    </row>
    <row r="49" spans="1:79" s="43" customFormat="1" ht="16" thickBot="1" x14ac:dyDescent="0.35">
      <c r="A49" s="364"/>
      <c r="B49" s="352"/>
      <c r="C49" s="108"/>
      <c r="D49" s="37" t="s">
        <v>355</v>
      </c>
      <c r="E49" s="61"/>
      <c r="F49" s="126">
        <v>34</v>
      </c>
      <c r="G49" s="39">
        <v>37</v>
      </c>
      <c r="H49" s="39">
        <v>37</v>
      </c>
      <c r="I49" s="39">
        <v>37</v>
      </c>
      <c r="J49" s="39">
        <v>37</v>
      </c>
      <c r="K49" s="39">
        <v>37</v>
      </c>
      <c r="L49" s="39">
        <v>33</v>
      </c>
      <c r="M49" s="40">
        <v>33</v>
      </c>
      <c r="N49" s="57">
        <v>18.69454387237079</v>
      </c>
      <c r="O49" s="41">
        <v>18.00325319041195</v>
      </c>
      <c r="P49" s="41">
        <v>20.116638854394861</v>
      </c>
      <c r="Q49" s="41">
        <v>18.9560340447707</v>
      </c>
      <c r="R49" s="41">
        <v>15.31974701397486</v>
      </c>
      <c r="S49" s="41">
        <v>11.015432895559851</v>
      </c>
      <c r="T49" s="41">
        <v>13.799216535373221</v>
      </c>
      <c r="U49" s="58">
        <v>18.336527206442408</v>
      </c>
      <c r="V49" s="68"/>
      <c r="W49" s="69"/>
      <c r="X49" s="69"/>
      <c r="Y49" s="70"/>
      <c r="Z49" s="70"/>
      <c r="AA49" s="70"/>
      <c r="AB49" s="70"/>
      <c r="AC49" s="71"/>
      <c r="AD49" s="190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139" t="e">
        <v>#DIV/0!</v>
      </c>
      <c r="BX49" s="140">
        <v>0</v>
      </c>
      <c r="BY49" s="42"/>
      <c r="BZ49" s="42"/>
      <c r="CA49" s="42"/>
    </row>
    <row r="50" spans="1:79" x14ac:dyDescent="0.3">
      <c r="B50" s="47"/>
      <c r="BW50" s="139" t="e">
        <v>#DIV/0!</v>
      </c>
      <c r="BX50" s="140">
        <v>0</v>
      </c>
    </row>
    <row r="51" spans="1:79" x14ac:dyDescent="0.3">
      <c r="E51" s="28"/>
      <c r="S51" s="5"/>
      <c r="T51" s="5"/>
      <c r="U51" s="5"/>
      <c r="BW51" s="139" t="e">
        <v>#DIV/0!</v>
      </c>
      <c r="BX51" s="140">
        <v>0</v>
      </c>
    </row>
    <row r="52" spans="1:79" s="46" customFormat="1" x14ac:dyDescent="0.3">
      <c r="A52" s="2"/>
      <c r="B52" s="3"/>
      <c r="C52" s="3"/>
      <c r="D52" s="2"/>
      <c r="E52" s="28"/>
      <c r="V52" s="6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139" t="e">
        <v>#DIV/0!</v>
      </c>
      <c r="BX52" s="140">
        <v>0</v>
      </c>
      <c r="BY52" s="2"/>
      <c r="BZ52" s="2"/>
      <c r="CA52" s="2"/>
    </row>
    <row r="53" spans="1:79" s="46" customFormat="1" x14ac:dyDescent="0.3">
      <c r="A53" s="2"/>
      <c r="B53" s="3"/>
      <c r="C53" s="3"/>
      <c r="D53" s="2"/>
      <c r="E53" s="2"/>
      <c r="V53" s="6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139" t="e">
        <v>#DIV/0!</v>
      </c>
      <c r="BX53" s="140">
        <v>0</v>
      </c>
      <c r="BY53" s="2"/>
      <c r="BZ53" s="2"/>
      <c r="CA53" s="2"/>
    </row>
    <row r="54" spans="1:79" x14ac:dyDescent="0.3">
      <c r="BW54" s="139" t="e">
        <v>#DIV/0!</v>
      </c>
      <c r="BX54" s="140">
        <v>0</v>
      </c>
    </row>
    <row r="55" spans="1:79" x14ac:dyDescent="0.3">
      <c r="BW55" s="139" t="e">
        <v>#DIV/0!</v>
      </c>
      <c r="BX55" s="140">
        <v>0</v>
      </c>
    </row>
    <row r="56" spans="1:79" x14ac:dyDescent="0.3">
      <c r="BW56" s="139" t="e">
        <v>#DIV/0!</v>
      </c>
      <c r="BX56" s="140">
        <v>0</v>
      </c>
    </row>
    <row r="57" spans="1:79" x14ac:dyDescent="0.3">
      <c r="BW57" s="139" t="e">
        <v>#DIV/0!</v>
      </c>
      <c r="BX57" s="140">
        <v>0</v>
      </c>
    </row>
    <row r="58" spans="1:79" x14ac:dyDescent="0.3">
      <c r="BW58" s="139" t="e">
        <v>#DIV/0!</v>
      </c>
      <c r="BX58" s="140">
        <v>0</v>
      </c>
    </row>
    <row r="59" spans="1:79" x14ac:dyDescent="0.3">
      <c r="BW59" s="139" t="e">
        <v>#DIV/0!</v>
      </c>
      <c r="BX59" s="140">
        <v>0</v>
      </c>
    </row>
    <row r="60" spans="1:79" x14ac:dyDescent="0.3">
      <c r="BW60" s="139" t="e">
        <v>#DIV/0!</v>
      </c>
      <c r="BX60" s="140">
        <v>0</v>
      </c>
    </row>
    <row r="61" spans="1:79" x14ac:dyDescent="0.3">
      <c r="BW61" s="139" t="e">
        <v>#DIV/0!</v>
      </c>
      <c r="BX61" s="140">
        <v>0</v>
      </c>
    </row>
    <row r="62" spans="1:79" x14ac:dyDescent="0.3">
      <c r="BW62" s="139" t="e">
        <v>#DIV/0!</v>
      </c>
      <c r="BX62" s="140">
        <v>0</v>
      </c>
    </row>
    <row r="63" spans="1:79" x14ac:dyDescent="0.3">
      <c r="BW63" s="139" t="e">
        <v>#DIV/0!</v>
      </c>
      <c r="BX63" s="140">
        <v>0</v>
      </c>
    </row>
    <row r="64" spans="1:79" x14ac:dyDescent="0.3">
      <c r="BW64" s="146" t="e">
        <v>#DIV/0!</v>
      </c>
      <c r="BX64" s="147">
        <v>0</v>
      </c>
    </row>
    <row r="65" spans="58:76" ht="16" thickBot="1" x14ac:dyDescent="0.35">
      <c r="BW65" s="142" t="e">
        <v>#DIV/0!</v>
      </c>
      <c r="BX65" s="143">
        <v>0</v>
      </c>
    </row>
    <row r="66" spans="58:76" x14ac:dyDescent="0.3"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0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phoneticPr fontId="1" type="noConversion"/>
  <conditionalFormatting sqref="G29:K42 G47:K49">
    <cfRule type="expression" dxfId="6" priority="10">
      <formula>"F23&gt;E23"</formula>
    </cfRule>
  </conditionalFormatting>
  <conditionalFormatting sqref="G43:K46">
    <cfRule type="expression" dxfId="5" priority="6">
      <formula>"F23&gt;E23"</formula>
    </cfRule>
  </conditionalFormatting>
  <conditionalFormatting sqref="M29:M42 M47:M49">
    <cfRule type="expression" dxfId="4" priority="5">
      <formula>"F23&gt;E23"</formula>
    </cfRule>
  </conditionalFormatting>
  <conditionalFormatting sqref="M43:M46">
    <cfRule type="expression" dxfId="3" priority="4">
      <formula>"F23&gt;E23"</formula>
    </cfRule>
  </conditionalFormatting>
  <conditionalFormatting sqref="L29:L42 L47:L49">
    <cfRule type="expression" dxfId="2" priority="3">
      <formula>"F23&gt;E23"</formula>
    </cfRule>
  </conditionalFormatting>
  <conditionalFormatting sqref="L43:L46">
    <cfRule type="expression" dxfId="1" priority="2">
      <formula>"F23&gt;E23"</formula>
    </cfRule>
  </conditionalFormatting>
  <conditionalFormatting sqref="V29:W48">
    <cfRule type="cellIs" dxfId="0" priority="1" operator="notEqual">
      <formula>U29</formula>
    </cfRule>
  </conditionalFormatting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Snapshot</vt:lpstr>
      <vt:lpstr>Data presentation</vt:lpstr>
      <vt:lpstr>CP Summary</vt:lpstr>
      <vt:lpstr>FT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KangHo Lee</dc:creator>
  <cp:keywords/>
  <dc:description/>
  <cp:lastModifiedBy>靖翔 王</cp:lastModifiedBy>
  <cp:revision/>
  <dcterms:created xsi:type="dcterms:W3CDTF">2006-09-16T00:00:00Z</dcterms:created>
  <dcterms:modified xsi:type="dcterms:W3CDTF">2025-07-15T07:37:22Z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_SA">
    <vt:lpwstr>C:\Blue\FBP\Capacity tool - 0203\TEST DGR Maintanence_v2.xlsm</vt:lpwstr>
  </property>
  <property fmtid="{D5CDD505-2E9C-101B-9397-08002B2CF9AE}" pid="3" name="Jedox.Offline">
    <vt:bool>false</vt:bool>
  </property>
</Properties>
</file>